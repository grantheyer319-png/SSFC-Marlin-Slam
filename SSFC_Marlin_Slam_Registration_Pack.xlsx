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258193fa6f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Setup" sheetId="1" r:id="Ra03fa7d4c7264e12"/>
    <x:sheet xmlns:r="http://schemas.openxmlformats.org/officeDocument/2006/relationships" name="Form Responses" sheetId="2" r:id="Rf11109b06d354cda"/>
    <x:sheet xmlns:r="http://schemas.openxmlformats.org/officeDocument/2006/relationships" name="Tracking" sheetId="3" r:id="Ra87e9e120587496f"/>
    <x:sheet xmlns:r="http://schemas.openxmlformats.org/officeDocument/2006/relationships" name="Dashboard" sheetId="4" r:id="Ra228b76fd1b14b79"/>
    <x:sheet xmlns:r="http://schemas.openxmlformats.org/officeDocument/2006/relationships" name="Committee Notes" sheetId="5" r:id="R72a220850c8c4b0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F7" authorId="0">
      <x:text>
        <x:r>
          <x:t>Based on SSFC rules PDF provided by user.</x:t>
        </x:r>
      </x:text>
    </x:comment>
    <x:comment ref="F8" authorId="0">
      <x:text>
        <x:r>
          <x:t>Rules PDF page 8 official registration fields.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A8" authorId="0">
      <x:text>
        <x:r>
          <x:t>Event details, meeting, deadlines, fees, and team requirements are from the rules PDF.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family val="2"/>
      <x:scheme val="minor"/>
    </x:font>
    <x:font>
      <x:b/>
      <x:sz val="16"/>
      <x:color rgb="00FFFFFF"/>
    </x:font>
    <x:font>
      <x:b/>
    </x:font>
    <x:font>
      <x:b/>
      <x:color rgb="00FFFFFF"/>
    </x:font>
    <x:font>
      <x:color rgb="00000000"/>
    </x:font>
    <x:font>
      <x:color rgb="000000FF"/>
    </x:font>
    <x:font>
      <x:i/>
      <x:color rgb="000000FF"/>
    </x:font>
    <x:font>
      <x:i/>
      <x:color rgb="00C2410C"/>
    </x:font>
    <x:font>
      <x:b/>
      <x:sz val="11"/>
      <x:color rgb="00FFFFFF"/>
    </x:font>
    <x:font>
      <x:b/>
      <x:sz val="20"/>
      <x:color rgb="001F2937"/>
    </x:font>
    <x:font>
      <x:i/>
      <x:color rgb="000F766E"/>
    </x:font>
  </x:fonts>
  <x:fills count="6">
    <x:fill>
      <x:patternFill patternType="none"/>
    </x:fill>
    <x:fill>
      <x:patternFill patternType="gray125"/>
    </x:fill>
    <x:fill>
      <x:patternFill patternType="solid">
        <x:fgColor rgb="000B4F87"/>
      </x:patternFill>
    </x:fill>
    <x:fill>
      <x:patternFill patternType="solid">
        <x:fgColor rgb="00F7E7A6"/>
      </x:patternFill>
    </x:fill>
    <x:fill>
      <x:patternFill patternType="solid">
        <x:fgColor rgb="00EAF2FF"/>
      </x:patternFill>
    </x:fill>
    <x:fill>
      <x:patternFill patternType="solid">
        <x:fgColor rgb="00DCEE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left" vertical="center"/>
    </x:xf>
    <x:xf numFmtId="0" fontId="1" fillId="2" borderId="0" xfId="0"/>
    <x:xf numFmtId="0" fontId="2" fillId="0" borderId="0" xfId="0"/>
    <x:xf numFmtId="0" fontId="0" fillId="3" borderId="0" xfId="0"/>
    <x:xf numFmtId="0" fontId="3" fillId="2" borderId="0" xfId="0" applyAlignment="1">
      <x:alignment horizontal="center"/>
    </x:xf>
    <x:xf numFmtId="0" fontId="3" fillId="2" borderId="0" xfId="0"/>
    <x:xf numFmtId="0" fontId="0" fillId="0" borderId="0" xfId="0" applyAlignment="1">
      <x:alignment vertical="top" wrapText="1"/>
    </x:xf>
    <x:xf numFmtId="0" fontId="6" fillId="0" borderId="0" xfId="0"/>
    <x:xf numFmtId="0" fontId="7" fillId="0" borderId="0" xfId="0"/>
    <x:xf numFmtId="0" fontId="4" fillId="0" borderId="0" xfId="0"/>
    <x:xf numFmtId="0" fontId="5" fillId="4" borderId="0" xfId="0"/>
    <x:xf numFmtId="0" fontId="8" fillId="2" borderId="0" xfId="0" applyAlignment="1">
      <x:alignment horizontal="center"/>
    </x:xf>
    <x:xf numFmtId="0" fontId="9" fillId="5" borderId="0" xfId="0" applyAlignment="1">
      <x:alignment horizontal="center" vertical="center"/>
    </x:xf>
    <x:xf numFmtId="0" fontId="1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5cf366eac4c6d" /><Relationship Type="http://schemas.openxmlformats.org/officeDocument/2006/relationships/theme" Target="/xl/theme/theme1.xml" Id="R6cd2992da9534823" /><Relationship Type="http://schemas.openxmlformats.org/officeDocument/2006/relationships/sharedStrings" Target="/xl/sharedStrings.xml" Id="Rfa7e415a3f494d8d" /><Relationship Type="http://schemas.openxmlformats.org/officeDocument/2006/relationships/worksheet" Target="/xl/worksheets/sheet1.xml" Id="Ra03fa7d4c7264e12" /><Relationship Type="http://schemas.openxmlformats.org/officeDocument/2006/relationships/worksheet" Target="/xl/worksheets/sheet2.xml" Id="Rf11109b06d354cda" /><Relationship Type="http://schemas.openxmlformats.org/officeDocument/2006/relationships/worksheet" Target="/xl/worksheets/sheet3.xml" Id="Ra87e9e120587496f" /><Relationship Type="http://schemas.openxmlformats.org/officeDocument/2006/relationships/worksheet" Target="/xl/worksheets/sheet4.xml" Id="Ra228b76fd1b14b79" /><Relationship Type="http://schemas.openxmlformats.org/officeDocument/2006/relationships/worksheet" Target="/xl/worksheets/sheet5.xml" Id="R72a220850c8c4b00" /><Relationship Type="http://schemas.microsoft.com/office/2017/10/relationships/person" Target="/xl/persons/person.xml" Id="R90e26470d3824b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076916697444e9" /><Relationship Type="http://schemas.openxmlformats.org/officeDocument/2006/relationships/chart" Target="/xl/drawings/charts/chart2.xml" Id="R1e21771e547b4d3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Paid vs Unpaid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'Dashboard'!B7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'Dashboard'!$A$8:$A$9</c:f>
              <c:strCache>
                <c:ptCount val="0"/>
              </c:strCache>
            </c:strRef>
          </c:cat>
          <c:val>
            <c:numRef>
              <c:f>'Dashboard'!$B$8:$B$9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Entries by Fishing Area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bar"/>
        <c:grouping val="clustered"/>
        <c:ser>
          <c:idx val="0"/>
          <c:order val="0"/>
          <c:tx>
            <c:strRef>
              <c:f>'Dashboard'!B12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'Dashboard'!$A$13:$A$15</c:f>
              <c:strCache>
                <c:ptCount val="0"/>
              </c:strCache>
            </c:strRef>
          </c:cat>
          <c:val>
            <c:numRef>
              <c:f>'Dashboard'!$B$13:$B$15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Count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Area</a:t>
                </a:r>
              </a:p>
            </c:rich>
          </c:tx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/>
              </a:pPr>
            </a:p>
          </c:txPr>
        </c:title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076916697444e9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21771e547b4d3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4950D50A-3605-41E8-5DA8-99CBBD94F882}"/>
  <xltc:person displayName="OpenAI" id="{E3BBEA48-3131-AC13-7C76-6BE66F5C4601}"/>
</xltc:personList>
</file>

<file path=xl/tables/table1.xml><?xml version="1.0" encoding="utf-8"?>
<x:table xmlns:x="http://schemas.openxmlformats.org/spreadsheetml/2006/main" id="1" name="FormSetupTable" displayName="FormSetupTable" ref="A6:F21" headerRowCount="1">
  <x:autoFilter ref="A6:F21"/>
  <x:tableColumns count="6">
    <x:tableColumn id="1" name="Section"/>
    <x:tableColumn id="2" name="Question / Field"/>
    <x:tableColumn id="3" name="Type"/>
    <x:tableColumn id="4" name="Required?"/>
    <x:tableColumn id="5" name="Notes"/>
    <x:tableColumn id="6" name="Source"/>
  </x:tableColumns>
  <x:tableStyleInfo name="TableStyleMedium2" showRowStripes="1"/>
</x:table>
</file>

<file path=xl/tables/table2.xml><?xml version="1.0" encoding="utf-8"?>
<x:table xmlns:x="http://schemas.openxmlformats.org/spreadsheetml/2006/main" id="2" name="ResponsesTable" displayName="ResponsesTable" ref="A3:O6" headerRowCount="1">
  <x:autoFilter ref="A3:O6"/>
  <x:tableColumns count="15">
    <x:tableColumn id="1" name="Timestamp"/>
    <x:tableColumn id="2" name="Team Name"/>
    <x:tableColumn id="3" name="Boat Name"/>
    <x:tableColumn id="4" name="Reg. No."/>
    <x:tableColumn id="5" name="Captain"/>
    <x:tableColumn id="6" name="Skipper"/>
    <x:tableColumn id="7" name="Mobile"/>
    <x:tableColumn id="8" name="Email"/>
    <x:tableColumn id="9" name="Sat Phone"/>
    <x:tableColumn id="10" name="Total On Board"/>
    <x:tableColumn id="11" name="Anglers / Crew"/>
    <x:tableColumn id="12" name="Fishing Area Note"/>
    <x:tableColumn id="13" name="Rules Accepted"/>
    <x:tableColumn id="14" name="Payment Status"/>
    <x:tableColumn id="15" name="Review Status"/>
  </x:tableColumns>
  <x:tableStyleInfo name="TableStyleMedium9" showRowStripes="1"/>
</x:table>
</file>

<file path=xl/tables/table3.xml><?xml version="1.0" encoding="utf-8"?>
<x:table xmlns:x="http://schemas.openxmlformats.org/spreadsheetml/2006/main" id="3" name="TrackingTable" displayName="TrackingTable" ref="A3:N24" headerRowCount="1">
  <x:autoFilter ref="A3:N24"/>
  <x:tableColumns count="14">
    <x:tableColumn id="1" name="Timestamp"/>
    <x:tableColumn id="2" name="Team Name"/>
    <x:tableColumn id="3" name="Boat Name"/>
    <x:tableColumn id="4" name="Captain"/>
    <x:tableColumn id="5" name="Mobile"/>
    <x:tableColumn id="6" name="Email"/>
    <x:tableColumn id="7" name="Total On Board"/>
    <x:tableColumn id="8" name="Rules Accepted"/>
    <x:tableColumn id="9" name="Paid?"/>
    <x:tableColumn id="10" name="Approved?"/>
    <x:tableColumn id="11" name="Committee Notes"/>
    <x:tableColumn id="12" name="Entry #"/>
    <x:tableColumn id="13" name="Marina / Area"/>
    <x:tableColumn id="14" name="Follow-up"/>
  </x:tableColumns>
  <x:tableStyleInfo name="TableStyleMedium4" showRowStripes="1"/>
</x:table>
</file>

<file path=xl/tables/table4.xml><?xml version="1.0" encoding="utf-8"?>
<x:table xmlns:x="http://schemas.openxmlformats.org/spreadsheetml/2006/main" id="4" name="CommitteeTable" displayName="CommitteeTable" ref="A3:F5" headerRowCount="1">
  <x:autoFilter ref="A3:F5"/>
  <x:tableColumns count="6">
    <x:tableColumn id="1" name="Option"/>
    <x:tableColumn id="2" name="Best Use"/>
    <x:tableColumn id="3" name="Pros"/>
    <x:tableColumn id="4" name="Cons"/>
    <x:tableColumn id="5" name="Recommendation"/>
    <x:tableColumn id="6" name="Decision"/>
  </x:tableColumns>
  <x:tableStyleInfo name="TableStyleMedium6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2a0e6ac832d46fd" /><Relationship Type="http://schemas.openxmlformats.org/officeDocument/2006/relationships/vmlDrawing" Target="/xl/drawings/vmldrawing.vml" Id="R3d709eff06b04425" /><Relationship Type="http://schemas.openxmlformats.org/officeDocument/2006/relationships/table" Target="/xl/tables/table1.xml" Id="R323613a8376440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5d9109af0546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11e02773fcb43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7fae459fbf5a42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6faa59d52127455d" /><Relationship Type="http://schemas.openxmlformats.org/officeDocument/2006/relationships/vmlDrawing" Target="/xl/drawings/vmldrawing2.vml" Id="R7f3c0bdb52c041ad" /><Relationship Type="http://schemas.openxmlformats.org/officeDocument/2006/relationships/table" Target="/xl/tables/table4.xml" Id="R2c540bf528904e62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0" customWidth="1"/>
    <x:col min="3" max="3" width="18" customWidth="1"/>
    <x:col min="4" max="4" width="11" customWidth="1"/>
    <x:col min="5" max="5" width="35" customWidth="1"/>
    <x:col min="6" max="6" width="12" customWidth="1"/>
  </x:cols>
  <x:sheetData>
    <x:row r="1">
      <x:c r="A1" s="1" t="inlineStr">
        <x:is>
          <x:t xml:space="preserve">SSFC 15th Annual Marlin Slam – Recommended Google Form Setup</x:t>
        </x:is>
      </x:c>
    </x:row>
    <x:row r="3">
      <x:c r="A3" s="3" t="inlineStr">
        <x:is>
          <x:t xml:space="preserve">Event</x:t>
        </x:is>
      </x:c>
      <x:c r="B3" s="4" t="inlineStr">
        <x:is>
          <x:t xml:space="preserve">15th Annual Marlin Slam</x:t>
        </x:is>
      </x:c>
      <x:c r="D3" s="3" t="inlineStr">
        <x:is>
          <x:t xml:space="preserve">Date</x:t>
        </x:is>
      </x:c>
      <x:c r="E3" s="4" t="inlineStr">
        <x:is>
          <x:t xml:space="preserve">25 April 2026</x:t>
        </x:is>
      </x:c>
    </x:row>
    <x:row r="4">
      <x:c r="A4" s="3" t="inlineStr">
        <x:is>
          <x:t xml:space="preserve">Venue</x:t>
        </x:is>
      </x:c>
      <x:c r="B4" s="4" t="inlineStr">
        <x:is>
          <x:t xml:space="preserve">Eden Island Marina</x:t>
        </x:is>
      </x:c>
      <x:c r="D4" s="3" t="inlineStr">
        <x:is>
          <x:t xml:space="preserve">Sponsor</x:t>
        </x:is>
      </x:c>
      <x:c r="E4" s="4" t="inlineStr">
        <x:is>
          <x:t xml:space="preserve">Heineken</x:t>
        </x:is>
      </x:c>
    </x:row>
    <x:row r="6">
      <x:c r="A6" s="5" t="inlineStr">
        <x:is>
          <x:t xml:space="preserve">Section</x:t>
        </x:is>
      </x:c>
      <x:c r="B6" s="5" t="inlineStr">
        <x:is>
          <x:t xml:space="preserve">Question / Field</x:t>
        </x:is>
      </x:c>
      <x:c r="C6" s="5" t="inlineStr">
        <x:is>
          <x:t xml:space="preserve">Type</x:t>
        </x:is>
      </x:c>
      <x:c r="D6" s="5" t="inlineStr">
        <x:is>
          <x:t xml:space="preserve">Required?</x:t>
        </x:is>
      </x:c>
      <x:c r="E6" s="5" t="inlineStr">
        <x:is>
          <x:t xml:space="preserve">Notes</x:t>
        </x:is>
      </x:c>
      <x:c r="F6" s="5" t="inlineStr">
        <x:is>
          <x:t xml:space="preserve">Source</x:t>
        </x:is>
      </x:c>
    </x:row>
    <x:row r="7">
      <x:c r="A7" t="inlineStr">
        <x:is>
          <x:t xml:space="preserve">Event Info</x:t>
        </x:is>
      </x:c>
      <x:c r="B7" t="inlineStr">
        <x:is>
          <x:t xml:space="preserve">Tournament title (read-only)</x:t>
        </x:is>
      </x:c>
      <x:c r="C7" t="inlineStr">
        <x:is>
          <x:t xml:space="preserve">Section header</x:t>
        </x:is>
      </x:c>
      <x:c r="D7" t="inlineStr">
        <x:is>
          <x:t xml:space="preserve">Yes</x:t>
        </x:is>
      </x:c>
      <x:c r="E7" t="inlineStr">
        <x:is>
          <x:t xml:space="preserve">Show date, venue, fee, deadline, sponsor</x:t>
        </x:is>
      </x:c>
      <x:c r="F7" t="inlineStr">
        <x:is>
          <x:t xml:space="preserve">Rules / poster</x:t>
        </x:is>
      </x:c>
    </x:row>
    <x:row r="8">
      <x:c r="A8" t="inlineStr">
        <x:is>
          <x:t xml:space="preserve">Team &amp; Boat</x:t>
        </x:is>
      </x:c>
      <x:c r="B8" t="inlineStr">
        <x:is>
          <x:t xml:space="preserve">Team name</x:t>
        </x:is>
      </x:c>
      <x:c r="C8" t="inlineStr">
        <x:is>
          <x:t xml:space="preserve">Short answer</x:t>
        </x:is>
      </x:c>
      <x:c r="D8" t="inlineStr">
        <x:is>
          <x:t xml:space="preserve">Yes</x:t>
        </x:is>
      </x:c>
      <x:c r="E8" t="inlineStr">
        <x:is>
          <x:t xml:space="preserve">Matches official registration form</x:t>
        </x:is>
      </x:c>
      <x:c r="F8" t="inlineStr">
        <x:is>
          <x:t xml:space="preserve">Rules p.8</x:t>
        </x:is>
      </x:c>
    </x:row>
    <x:row r="9">
      <x:c r="A9" t="inlineStr">
        <x:is>
          <x:t xml:space="preserve">Team &amp; Boat</x:t>
        </x:is>
      </x:c>
      <x:c r="B9" t="inlineStr">
        <x:is>
          <x:t xml:space="preserve">Boat name</x:t>
        </x:is>
      </x:c>
      <x:c r="C9" t="inlineStr">
        <x:is>
          <x:t xml:space="preserve">Short answer</x:t>
        </x:is>
      </x:c>
      <x:c r="D9" t="inlineStr">
        <x:is>
          <x:t xml:space="preserve">Yes</x:t>
        </x:is>
      </x:c>
      <x:c r="E9" t="inlineStr">
        <x:is>
          <x:t xml:space="preserve">Matches official registration form</x:t>
        </x:is>
      </x:c>
      <x:c r="F9" t="inlineStr">
        <x:is>
          <x:t xml:space="preserve">Rules p.8</x:t>
        </x:is>
      </x:c>
    </x:row>
    <x:row r="10">
      <x:c r="A10" t="inlineStr">
        <x:is>
          <x:t xml:space="preserve">Team &amp; Boat</x:t>
        </x:is>
      </x:c>
      <x:c r="B10" t="inlineStr">
        <x:is>
          <x:t xml:space="preserve">Boat registration number</x:t>
        </x:is>
      </x:c>
      <x:c r="C10" t="inlineStr">
        <x:is>
          <x:t xml:space="preserve">Short answer</x:t>
        </x:is>
      </x:c>
      <x:c r="D10" t="inlineStr">
        <x:is>
          <x:t xml:space="preserve">Yes</x:t>
        </x:is>
      </x:c>
      <x:c r="E10" t="inlineStr">
        <x:is>
          <x:t xml:space="preserve">Matches official registration form</x:t>
        </x:is>
      </x:c>
      <x:c r="F10" t="inlineStr">
        <x:is>
          <x:t xml:space="preserve">Rules p.8</x:t>
        </x:is>
      </x:c>
    </x:row>
    <x:row r="11">
      <x:c r="A11" t="inlineStr">
        <x:is>
          <x:t xml:space="preserve">Contacts</x:t>
        </x:is>
      </x:c>
      <x:c r="B11" t="inlineStr">
        <x:is>
          <x:t xml:space="preserve">Team captain name</x:t>
        </x:is>
      </x:c>
      <x:c r="C11" t="inlineStr">
        <x:is>
          <x:t xml:space="preserve">Short answer</x:t>
        </x:is>
      </x:c>
      <x:c r="D11" t="inlineStr">
        <x:is>
          <x:t xml:space="preserve">Yes</x:t>
        </x:is>
      </x:c>
      <x:c r="E11" t="inlineStr">
        <x:is>
          <x:t xml:space="preserve">Captain signs declarations</x:t>
        </x:is>
      </x:c>
      <x:c r="F11" t="inlineStr">
        <x:is>
          <x:t xml:space="preserve">Rules p.8</x:t>
        </x:is>
      </x:c>
    </x:row>
    <x:row r="12">
      <x:c r="A12" t="inlineStr">
        <x:is>
          <x:t xml:space="preserve">Contacts</x:t>
        </x:is>
      </x:c>
      <x:c r="B12" t="inlineStr">
        <x:is>
          <x:t xml:space="preserve">Skipper name</x:t>
        </x:is>
      </x:c>
      <x:c r="C12" t="inlineStr">
        <x:is>
          <x:t xml:space="preserve">Short answer</x:t>
        </x:is>
      </x:c>
      <x:c r="D12" t="inlineStr">
        <x:is>
          <x:t xml:space="preserve">Yes</x:t>
        </x:is>
      </x:c>
      <x:c r="E12" t="inlineStr">
        <x:is>
          <x:t xml:space="preserve">Matches official form</x:t>
        </x:is>
      </x:c>
      <x:c r="F12" t="inlineStr">
        <x:is>
          <x:t xml:space="preserve">Rules p.8</x:t>
        </x:is>
      </x:c>
    </x:row>
    <x:row r="13">
      <x:c r="A13" t="inlineStr">
        <x:is>
          <x:t xml:space="preserve">Contacts</x:t>
        </x:is>
      </x:c>
      <x:c r="B13" t="inlineStr">
        <x:is>
          <x:t xml:space="preserve">Mobile number</x:t>
        </x:is>
      </x:c>
      <x:c r="C13" t="inlineStr">
        <x:is>
          <x:t xml:space="preserve">Short answer</x:t>
        </x:is>
      </x:c>
      <x:c r="D13" t="inlineStr">
        <x:is>
          <x:t xml:space="preserve">Yes</x:t>
        </x:is>
      </x:c>
      <x:c r="E13" t="inlineStr">
        <x:is>
          <x:t xml:space="preserve">Main contact number</x:t>
        </x:is>
      </x:c>
      <x:c r="F13" t="inlineStr">
        <x:is>
          <x:t xml:space="preserve">Committee use</x:t>
        </x:is>
      </x:c>
    </x:row>
    <x:row r="14">
      <x:c r="A14" t="inlineStr">
        <x:is>
          <x:t xml:space="preserve">Contacts</x:t>
        </x:is>
      </x:c>
      <x:c r="B14" t="inlineStr">
        <x:is>
          <x:t xml:space="preserve">Email address</x:t>
        </x:is>
      </x:c>
      <x:c r="C14" t="inlineStr">
        <x:is>
          <x:t xml:space="preserve">Short answer</x:t>
        </x:is>
      </x:c>
      <x:c r="D14" t="inlineStr">
        <x:is>
          <x:t xml:space="preserve">Yes</x:t>
        </x:is>
      </x:c>
      <x:c r="E14" t="inlineStr">
        <x:is>
          <x:t xml:space="preserve">For confirmations</x:t>
        </x:is>
      </x:c>
      <x:c r="F14" t="inlineStr">
        <x:is>
          <x:t xml:space="preserve">Committee use</x:t>
        </x:is>
      </x:c>
    </x:row>
    <x:row r="15">
      <x:c r="A15" t="inlineStr">
        <x:is>
          <x:t xml:space="preserve">Contacts</x:t>
        </x:is>
      </x:c>
      <x:c r="B15" t="inlineStr">
        <x:is>
          <x:t xml:space="preserve">Satellite phone number</x:t>
        </x:is>
      </x:c>
      <x:c r="C15" t="inlineStr">
        <x:is>
          <x:t xml:space="preserve">Short answer</x:t>
        </x:is>
      </x:c>
      <x:c r="D15" t="inlineStr">
        <x:is>
          <x:t xml:space="preserve">No</x:t>
        </x:is>
      </x:c>
      <x:c r="E15" t="inlineStr">
        <x:is>
          <x:t xml:space="preserve">If applicable</x:t>
        </x:is>
      </x:c>
      <x:c r="F15" t="inlineStr">
        <x:is>
          <x:t xml:space="preserve">Rules p.8</x:t>
        </x:is>
      </x:c>
    </x:row>
    <x:row r="16">
      <x:c r="A16" t="inlineStr">
        <x:is>
          <x:t xml:space="preserve">Crew</x:t>
        </x:is>
      </x:c>
      <x:c r="B16" t="inlineStr">
        <x:is>
          <x:t xml:space="preserve">Total persons on board</x:t>
        </x:is>
      </x:c>
      <x:c r="C16" t="inlineStr">
        <x:is>
          <x:t xml:space="preserve">Dropdown / short answer</x:t>
        </x:is>
      </x:c>
      <x:c r="D16" t="inlineStr">
        <x:is>
          <x:t xml:space="preserve">Yes</x:t>
        </x:is>
      </x:c>
      <x:c r="E16" t="inlineStr">
        <x:is>
          <x:t xml:space="preserve">Include crew</x:t>
        </x:is>
      </x:c>
      <x:c r="F16" t="inlineStr">
        <x:is>
          <x:t xml:space="preserve">Rules p.8</x:t>
        </x:is>
      </x:c>
    </x:row>
    <x:row r="17">
      <x:c r="A17" t="inlineStr">
        <x:is>
          <x:t xml:space="preserve">Crew</x:t>
        </x:is>
      </x:c>
      <x:c r="B17" t="inlineStr">
        <x:is>
          <x:t xml:space="preserve">Angler / crew names</x:t>
        </x:is>
      </x:c>
      <x:c r="C17" t="inlineStr">
        <x:is>
          <x:t xml:space="preserve">Long answer</x:t>
        </x:is>
      </x:c>
      <x:c r="D17" t="inlineStr">
        <x:is>
          <x:t xml:space="preserve">Yes</x:t>
        </x:is>
      </x:c>
      <x:c r="E17" t="inlineStr">
        <x:is>
          <x:t xml:space="preserve">One per line</x:t>
        </x:is>
      </x:c>
      <x:c r="F17" t="inlineStr">
        <x:is>
          <x:t xml:space="preserve">Rules p.8</x:t>
        </x:is>
      </x:c>
    </x:row>
    <x:row r="18">
      <x:c r="A18" t="inlineStr">
        <x:is>
          <x:t xml:space="preserve">Emergency</x:t>
        </x:is>
      </x:c>
      <x:c r="B18" t="inlineStr">
        <x:is>
          <x:t xml:space="preserve">General area planned for fishing</x:t>
        </x:is>
      </x:c>
      <x:c r="C18" t="inlineStr">
        <x:is>
          <x:t xml:space="preserve">Long answer</x:t>
        </x:is>
      </x:c>
      <x:c r="D18" t="inlineStr">
        <x:is>
          <x:t xml:space="preserve">Yes</x:t>
        </x:is>
      </x:c>
      <x:c r="E18" t="inlineStr">
        <x:is>
          <x:t xml:space="preserve">Needed in sealed-envelope workflow</x:t>
        </x:is>
      </x:c>
      <x:c r="F18" t="inlineStr">
        <x:is>
          <x:t xml:space="preserve">Rules p.2</x:t>
        </x:is>
      </x:c>
    </x:row>
    <x:row r="19">
      <x:c r="A19" t="inlineStr">
        <x:is>
          <x:t xml:space="preserve">Declarations</x:t>
        </x:is>
      </x:c>
      <x:c r="B19" t="inlineStr">
        <x:is>
          <x:t xml:space="preserve">Minimum 2 anglers acknowledged</x:t>
        </x:is>
      </x:c>
      <x:c r="C19" t="inlineStr">
        <x:is>
          <x:t xml:space="preserve">Checkbox</x:t>
        </x:is>
      </x:c>
      <x:c r="D19" t="inlineStr">
        <x:is>
          <x:t xml:space="preserve">Yes</x:t>
        </x:is>
      </x:c>
      <x:c r="E19" t="inlineStr">
        <x:is>
          <x:t xml:space="preserve">Team must have at least 2 anglers</x:t>
        </x:is>
      </x:c>
      <x:c r="F19" t="inlineStr">
        <x:is>
          <x:t xml:space="preserve">Rules p.1</x:t>
        </x:is>
      </x:c>
    </x:row>
    <x:row r="20">
      <x:c r="A20" t="inlineStr">
        <x:is>
          <x:t xml:space="preserve">Declarations</x:t>
        </x:is>
      </x:c>
      <x:c r="B20" t="inlineStr">
        <x:is>
          <x:t xml:space="preserve">Skippers’ meeting attendance acknowledged</x:t>
        </x:is>
      </x:c>
      <x:c r="C20" t="inlineStr">
        <x:is>
          <x:t xml:space="preserve">Checkbox</x:t>
        </x:is>
      </x:c>
      <x:c r="D20" t="inlineStr">
        <x:is>
          <x:t xml:space="preserve">Yes</x:t>
        </x:is>
      </x:c>
      <x:c r="E20" t="inlineStr">
        <x:is>
          <x:t xml:space="preserve">22 Apr 2026, 5–6 pm</x:t>
        </x:is>
      </x:c>
      <x:c r="F20" t="inlineStr">
        <x:is>
          <x:t xml:space="preserve">Rules p.1</x:t>
        </x:is>
      </x:c>
    </x:row>
    <x:row r="21">
      <x:c r="A21" t="inlineStr">
        <x:is>
          <x:t xml:space="preserve">Declarations</x:t>
        </x:is>
      </x:c>
      <x:c r="B21" t="inlineStr">
        <x:is>
          <x:t xml:space="preserve">Rules and liability accepted</x:t>
        </x:is>
      </x:c>
      <x:c r="C21" t="inlineStr">
        <x:is>
          <x:t xml:space="preserve">Checkbox</x:t>
        </x:is>
      </x:c>
      <x:c r="D21" t="inlineStr">
        <x:is>
          <x:t xml:space="preserve">Yes</x:t>
        </x:is>
      </x:c>
      <x:c r="E21" t="inlineStr">
        <x:is>
          <x:t xml:space="preserve">Mandatory</x:t>
        </x:is>
      </x:c>
      <x:c r="F21" t="inlineStr">
        <x:is>
          <x:t xml:space="preserve">Rules p.8</x:t>
        </x:is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3d709eff06b04425"/>
  <x:tableParts count="1">
    <x:tablePart xmlns:r="http://schemas.openxmlformats.org/officeDocument/2006/relationships" r:id="R323613a83764402c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9" customWidth="1"/>
    <x:col min="2" max="2" width="16" customWidth="1"/>
    <x:col min="3" max="3" width="16" customWidth="1"/>
    <x:col min="4" max="4" width="10" customWidth="1"/>
    <x:col min="5" max="5" width="15" customWidth="1"/>
    <x:col min="6" max="6" width="14" customWidth="1"/>
    <x:col min="7" max="7" width="14" customWidth="1"/>
    <x:col min="8" max="8" width="26" customWidth="1"/>
    <x:col min="9" max="9" width="14" customWidth="1"/>
    <x:col min="10" max="10" width="15" customWidth="1"/>
    <x:col min="11" max="11" width="22" customWidth="1"/>
    <x:col min="12" max="12" width="20" customWidth="1"/>
    <x:col min="13" max="13" width="14" customWidth="1"/>
    <x:col min="14" max="14" width="14" customWidth="1"/>
    <x:col min="15" max="15" width="14" customWidth="1"/>
  </x:cols>
  <x:sheetData>
    <x:row r="1">
      <x:c r="A1" s="1" t="inlineStr">
        <x:is>
          <x:t xml:space="preserve">Demo Form Responses (sample entries for committee testing)</x:t>
        </x:is>
      </x:c>
    </x:row>
    <x:row r="3">
      <x:c r="A3" s="6" t="inlineStr">
        <x:is>
          <x:t xml:space="preserve">Timestamp</x:t>
        </x:is>
      </x:c>
      <x:c r="B3" s="6" t="inlineStr">
        <x:is>
          <x:t xml:space="preserve">Team Name</x:t>
        </x:is>
      </x:c>
      <x:c r="C3" s="6" t="inlineStr">
        <x:is>
          <x:t xml:space="preserve">Boat Name</x:t>
        </x:is>
      </x:c>
      <x:c r="D3" s="6" t="inlineStr">
        <x:is>
          <x:t xml:space="preserve">Reg. No.</x:t>
        </x:is>
      </x:c>
      <x:c r="E3" s="6" t="inlineStr">
        <x:is>
          <x:t xml:space="preserve">Captain</x:t>
        </x:is>
      </x:c>
      <x:c r="F3" s="6" t="inlineStr">
        <x:is>
          <x:t xml:space="preserve">Skipper</x:t>
        </x:is>
      </x:c>
      <x:c r="G3" s="6" t="inlineStr">
        <x:is>
          <x:t xml:space="preserve">Mobile</x:t>
        </x:is>
      </x:c>
      <x:c r="H3" s="6" t="inlineStr">
        <x:is>
          <x:t xml:space="preserve">Email</x:t>
        </x:is>
      </x:c>
      <x:c r="I3" s="6" t="inlineStr">
        <x:is>
          <x:t xml:space="preserve">Sat Phone</x:t>
        </x:is>
      </x:c>
      <x:c r="J3" s="6" t="inlineStr">
        <x:is>
          <x:t xml:space="preserve">Total On Board</x:t>
        </x:is>
      </x:c>
      <x:c r="K3" s="6" t="inlineStr">
        <x:is>
          <x:t xml:space="preserve">Anglers / Crew</x:t>
        </x:is>
      </x:c>
      <x:c r="L3" s="6" t="inlineStr">
        <x:is>
          <x:t xml:space="preserve">Fishing Area Note</x:t>
        </x:is>
      </x:c>
      <x:c r="M3" s="6" t="inlineStr">
        <x:is>
          <x:t xml:space="preserve">Rules Accepted</x:t>
        </x:is>
      </x:c>
      <x:c r="N3" s="6" t="inlineStr">
        <x:is>
          <x:t xml:space="preserve">Payment Status</x:t>
        </x:is>
      </x:c>
      <x:c r="O3" s="6" t="inlineStr">
        <x:is>
          <x:t xml:space="preserve">Review Status</x:t>
        </x:is>
      </x:c>
    </x:row>
    <x:row r="4" ht="42" customHeight="1">
      <x:c r="A4" s="7" t="inlineStr">
        <x:is>
          <x:t xml:space="preserve">2026-04-18 08:35</x:t>
        </x:is>
      </x:c>
      <x:c r="B4" s="7" t="inlineStr">
        <x:is>
          <x:t xml:space="preserve">Blue Runner</x:t>
        </x:is>
      </x:c>
      <x:c r="C4" s="7" t="inlineStr">
        <x:is>
          <x:t xml:space="preserve">Sea Hunter</x:t>
        </x:is>
      </x:c>
      <x:c r="D4" s="7" t="inlineStr">
        <x:is>
          <x:t xml:space="preserve">S123</x:t>
        </x:is>
      </x:c>
      <x:c r="E4" s="7" t="inlineStr">
        <x:is>
          <x:t xml:space="preserve">Jean Morel</x:t>
        </x:is>
      </x:c>
      <x:c r="F4" s="7" t="inlineStr">
        <x:is>
          <x:t xml:space="preserve">A. Payet</x:t>
        </x:is>
      </x:c>
      <x:c r="G4" s="7" t="inlineStr">
        <x:is>
          <x:t xml:space="preserve">+248 251 9351</x:t>
        </x:is>
      </x:c>
      <x:c r="H4" s="7" t="inlineStr">
        <x:is>
          <x:t xml:space="preserve">blue.runner@example.com</x:t>
        </x:is>
      </x:c>
      <x:c r="I4" s="7" t="inlineStr">
        <x:is>
          <x:t xml:space="preserve"/>
        </x:is>
      </x:c>
      <x:c r="J4" s="7" t="inlineStr">
        <x:is>
          <x:t xml:space="preserve">5</x:t>
        </x:is>
      </x:c>
      <x:c r="K4" s="7" t="inlineStr">
        <x:is>
          <x:t xml:space="preserve">Jean Morel
A. Payet
S. Hoareau
M. Labiche
R. Sinon</x:t>
        </x:is>
      </x:c>
      <x:c r="L4" s="7" t="inlineStr">
        <x:is>
          <x:t xml:space="preserve">North drop-off</x:t>
        </x:is>
      </x:c>
      <x:c r="M4" s="7" t="inlineStr">
        <x:is>
          <x:t xml:space="preserve">Yes</x:t>
        </x:is>
      </x:c>
      <x:c r="N4" s="7" t="inlineStr">
        <x:is>
          <x:t xml:space="preserve">Yes</x:t>
        </x:is>
      </x:c>
      <x:c r="O4" s="7" t="inlineStr">
        <x:is>
          <x:t xml:space="preserve">Approved</x:t>
        </x:is>
      </x:c>
    </x:row>
    <x:row r="5" ht="42" customHeight="1">
      <x:c r="A5" s="7" t="inlineStr">
        <x:is>
          <x:t xml:space="preserve">2026-04-18 09:10</x:t>
        </x:is>
      </x:c>
      <x:c r="B5" s="7" t="inlineStr">
        <x:is>
          <x:t xml:space="preserve">Island Strike</x:t>
        </x:is>
      </x:c>
      <x:c r="C5" s="7" t="inlineStr">
        <x:is>
          <x:t xml:space="preserve">Creole Lady</x:t>
        </x:is>
      </x:c>
      <x:c r="D5" s="7" t="inlineStr">
        <x:is>
          <x:t xml:space="preserve">P447</x:t>
        </x:is>
      </x:c>
      <x:c r="E5" s="7" t="inlineStr">
        <x:is>
          <x:t xml:space="preserve">Mikael Pillay</x:t>
        </x:is>
      </x:c>
      <x:c r="F5" s="7" t="inlineStr">
        <x:is>
          <x:t xml:space="preserve">R. Esparon</x:t>
        </x:is>
      </x:c>
      <x:c r="G5" s="7" t="inlineStr">
        <x:is>
          <x:t xml:space="preserve">+248 264 0012</x:t>
        </x:is>
      </x:c>
      <x:c r="H5" s="7" t="inlineStr">
        <x:is>
          <x:t xml:space="preserve">island.strike@example.com</x:t>
        </x:is>
      </x:c>
      <x:c r="I5" s="7" t="inlineStr">
        <x:is>
          <x:t xml:space="preserve"/>
        </x:is>
      </x:c>
      <x:c r="J5" s="7" t="inlineStr">
        <x:is>
          <x:t xml:space="preserve">4</x:t>
        </x:is>
      </x:c>
      <x:c r="K5" s="7" t="inlineStr">
        <x:is>
          <x:t xml:space="preserve">M. Pillay
R. Esparon
T. Bristol
N. Pool</x:t>
        </x:is>
      </x:c>
      <x:c r="L5" s="7" t="inlineStr">
        <x:is>
          <x:t xml:space="preserve">West of Mahé</x:t>
        </x:is>
      </x:c>
      <x:c r="M5" s="7" t="inlineStr">
        <x:is>
          <x:t xml:space="preserve">Yes</x:t>
        </x:is>
      </x:c>
      <x:c r="N5" s="7" t="inlineStr">
        <x:is>
          <x:t xml:space="preserve">No</x:t>
        </x:is>
      </x:c>
      <x:c r="O5" s="7" t="inlineStr">
        <x:is>
          <x:t xml:space="preserve">Pending</x:t>
        </x:is>
      </x:c>
    </x:row>
    <x:row r="6" ht="42" customHeight="1">
      <x:c r="A6" s="7" t="inlineStr">
        <x:is>
          <x:t xml:space="preserve">2026-04-18 09:42</x:t>
        </x:is>
      </x:c>
      <x:c r="B6" s="7" t="inlineStr">
        <x:is>
          <x:t xml:space="preserve">Ocean Fire</x:t>
        </x:is>
      </x:c>
      <x:c r="C6" s="7" t="inlineStr">
        <x:is>
          <x:t xml:space="preserve">Marlin One</x:t>
        </x:is>
      </x:c>
      <x:c r="D6" s="7" t="inlineStr">
        <x:is>
          <x:t xml:space="preserve">E221</x:t>
        </x:is>
      </x:c>
      <x:c r="E6" s="7" t="inlineStr">
        <x:is>
          <x:t xml:space="preserve">Grant Samson</x:t>
        </x:is>
      </x:c>
      <x:c r="F6" s="7" t="inlineStr">
        <x:is>
          <x:t xml:space="preserve">L. Bristol</x:t>
        </x:is>
      </x:c>
      <x:c r="G6" s="7" t="inlineStr">
        <x:is>
          <x:t xml:space="preserve">+248 261 4832</x:t>
        </x:is>
      </x:c>
      <x:c r="H6" s="7" t="inlineStr">
        <x:is>
          <x:t xml:space="preserve">ocean.fire@example.com</x:t>
        </x:is>
      </x:c>
      <x:c r="I6" s="7" t="inlineStr">
        <x:is>
          <x:t xml:space="preserve">870-1234</x:t>
        </x:is>
      </x:c>
      <x:c r="J6" s="7" t="inlineStr">
        <x:is>
          <x:t xml:space="preserve">6</x:t>
        </x:is>
      </x:c>
      <x:c r="K6" s="7" t="inlineStr">
        <x:is>
          <x:t xml:space="preserve">G. Samson
L. Bristol
Y. Morel
K. Monthy
J. Ah-Kong
D. Pillay</x:t>
        </x:is>
      </x:c>
      <x:c r="L6" s="7" t="inlineStr">
        <x:is>
          <x:t xml:space="preserve">South-east grid edge</x:t>
        </x:is>
      </x:c>
      <x:c r="M6" s="7" t="inlineStr">
        <x:is>
          <x:t xml:space="preserve">Yes</x:t>
        </x:is>
      </x:c>
      <x:c r="N6" s="7" t="inlineStr">
        <x:is>
          <x:t xml:space="preserve">Yes</x:t>
        </x:is>
      </x:c>
      <x:c r="O6" s="7" t="inlineStr">
        <x:is>
          <x:t xml:space="preserve">Pending</x:t>
        </x:is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9d5d9109af0546e0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6" customWidth="1"/>
    <x:col min="3" max="3" width="16" customWidth="1"/>
    <x:col min="4" max="4" width="16" customWidth="1"/>
    <x:col min="5" max="5" width="14" customWidth="1"/>
    <x:col min="6" max="6" width="23" customWidth="1"/>
    <x:col min="7" max="7" width="14" customWidth="1"/>
    <x:col min="8" max="8" width="13" customWidth="1"/>
    <x:col min="9" max="9" width="10" customWidth="1"/>
    <x:col min="10" max="10" width="11" customWidth="1"/>
    <x:col min="11" max="11" width="18" customWidth="1"/>
    <x:col min="12" max="12" width="10" customWidth="1"/>
    <x:col min="13" max="13" width="18" customWidth="1"/>
    <x:col min="14" max="14" width="14" customWidth="1"/>
  </x:cols>
  <x:sheetData>
    <x:row r="1">
      <x:c r="A1" s="1" t="inlineStr">
        <x:is>
          <x:t xml:space="preserve">Registration Tracking (working sheet)</x:t>
        </x:is>
      </x:c>
    </x:row>
    <x:row r="2">
      <x:c r="I2" s="8" t="inlineStr">
        <x:is>
          <x:t xml:space="preserve">Blue text = committee input</x:t>
        </x:is>
      </x:c>
      <x:c r="K2" s="9" t="inlineStr">
        <x:is>
          <x:t xml:space="preserve">Update Paid?, Approved?, Notes, Follow-up after each registration</x:t>
        </x:is>
      </x:c>
    </x:row>
    <x:row r="3">
      <x:c r="A3" s="6" t="inlineStr">
        <x:is>
          <x:t xml:space="preserve">Timestamp</x:t>
        </x:is>
      </x:c>
      <x:c r="B3" s="6" t="inlineStr">
        <x:is>
          <x:t xml:space="preserve">Team Name</x:t>
        </x:is>
      </x:c>
      <x:c r="C3" s="6" t="inlineStr">
        <x:is>
          <x:t xml:space="preserve">Boat Name</x:t>
        </x:is>
      </x:c>
      <x:c r="D3" s="6" t="inlineStr">
        <x:is>
          <x:t xml:space="preserve">Captain</x:t>
        </x:is>
      </x:c>
      <x:c r="E3" s="6" t="inlineStr">
        <x:is>
          <x:t xml:space="preserve">Mobile</x:t>
        </x:is>
      </x:c>
      <x:c r="F3" s="6" t="inlineStr">
        <x:is>
          <x:t xml:space="preserve">Email</x:t>
        </x:is>
      </x:c>
      <x:c r="G3" s="6" t="inlineStr">
        <x:is>
          <x:t xml:space="preserve">Total On Board</x:t>
        </x:is>
      </x:c>
      <x:c r="H3" s="6" t="inlineStr">
        <x:is>
          <x:t xml:space="preserve">Rules Accepted</x:t>
        </x:is>
      </x:c>
      <x:c r="I3" s="6" t="inlineStr">
        <x:is>
          <x:t xml:space="preserve">Paid?</x:t>
        </x:is>
      </x:c>
      <x:c r="J3" s="6" t="inlineStr">
        <x:is>
          <x:t xml:space="preserve">Approved?</x:t>
        </x:is>
      </x:c>
      <x:c r="K3" s="6" t="inlineStr">
        <x:is>
          <x:t xml:space="preserve">Committee Notes</x:t>
        </x:is>
      </x:c>
      <x:c r="L3" s="6" t="inlineStr">
        <x:is>
          <x:t xml:space="preserve">Entry #</x:t>
        </x:is>
      </x:c>
      <x:c r="M3" s="6" t="inlineStr">
        <x:is>
          <x:t xml:space="preserve">Marina / Area</x:t>
        </x:is>
      </x:c>
      <x:c r="N3" s="6" t="inlineStr">
        <x:is>
          <x:t xml:space="preserve">Follow-up</x:t>
        </x:is>
      </x:c>
    </x:row>
    <x:row r="4" ht="22" customHeight="1">
      <x:c r="A4" s="10" t="str">
        <x:f>IF('Form Responses'!A4="","",'Form Responses'!A4)</x:f>
        <x:v>2026-04-18 08:35</x:v>
      </x:c>
      <x:c r="B4" s="10" t="str">
        <x:f>IF('Form Responses'!B4="","",'Form Responses'!B4)</x:f>
        <x:v>Blue Runner</x:v>
      </x:c>
      <x:c r="C4" s="10" t="str">
        <x:f>IF('Form Responses'!C4="","",'Form Responses'!C4)</x:f>
        <x:v>Sea Hunter</x:v>
      </x:c>
      <x:c r="D4" s="10" t="str">
        <x:f>IF('Form Responses'!E4="","",'Form Responses'!E4)</x:f>
        <x:v>Jean Morel</x:v>
      </x:c>
      <x:c r="E4" s="10" t="str">
        <x:f>IF('Form Responses'!G4="","",'Form Responses'!G4)</x:f>
        <x:v>+248 251 9351</x:v>
      </x:c>
      <x:c r="F4" s="10" t="str">
        <x:f>IF('Form Responses'!H4="","",'Form Responses'!H4)</x:f>
        <x:v>blue.runner@example.com</x:v>
      </x:c>
      <x:c r="G4" s="10" t="str">
        <x:f>IF('Form Responses'!J4="","",'Form Responses'!J4)</x:f>
        <x:v>5</x:v>
      </x:c>
      <x:c r="H4" s="10" t="str">
        <x:f>IF('Form Responses'!M4="","",'Form Responses'!M4)</x:f>
        <x:v>Yes</x:v>
      </x:c>
      <x:c r="I4" s="11" t="str">
        <x:f>IF('Form Responses'!N4="","",'Form Responses'!N4)</x:f>
        <x:v>Yes</x:v>
      </x:c>
      <x:c r="J4" s="11" t="str">
        <x:f>IF('Form Responses'!O4="","",'Form Responses'!O4)</x:f>
        <x:v>Approved</x:v>
      </x:c>
      <x:c r="K4" s="11" t="inlineStr">
        <x:is>
          <x:t xml:space="preserve"/>
        </x:is>
      </x:c>
      <x:c r="L4" s="10" t="str">
        <x:f>IF(B4="","","MS-"&amp;TEXT(ROW()-3,"000"))</x:f>
        <x:v>MS-001</x:v>
      </x:c>
      <x:c r="M4" s="10" t="str">
        <x:f>IF('Form Responses'!L4="","",'Form Responses'!L4)</x:f>
        <x:v>North drop-off</x:v>
      </x:c>
      <x:c r="N4" s="11" t="inlineStr">
        <x:is>
          <x:t xml:space="preserve"/>
        </x:is>
      </x:c>
    </x:row>
    <x:row r="5" ht="22" customHeight="1">
      <x:c r="A5" s="10" t="str">
        <x:f>IF('Form Responses'!A5="","",'Form Responses'!A5)</x:f>
        <x:v>2026-04-18 09:10</x:v>
      </x:c>
      <x:c r="B5" s="10" t="str">
        <x:f>IF('Form Responses'!B5="","",'Form Responses'!B5)</x:f>
        <x:v>Island Strike</x:v>
      </x:c>
      <x:c r="C5" s="10" t="str">
        <x:f>IF('Form Responses'!C5="","",'Form Responses'!C5)</x:f>
        <x:v>Creole Lady</x:v>
      </x:c>
      <x:c r="D5" s="10" t="str">
        <x:f>IF('Form Responses'!E5="","",'Form Responses'!E5)</x:f>
        <x:v>Mikael Pillay</x:v>
      </x:c>
      <x:c r="E5" s="10" t="str">
        <x:f>IF('Form Responses'!G5="","",'Form Responses'!G5)</x:f>
        <x:v>+248 264 0012</x:v>
      </x:c>
      <x:c r="F5" s="10" t="str">
        <x:f>IF('Form Responses'!H5="","",'Form Responses'!H5)</x:f>
        <x:v>island.strike@example.com</x:v>
      </x:c>
      <x:c r="G5" s="10" t="str">
        <x:f>IF('Form Responses'!J5="","",'Form Responses'!J5)</x:f>
        <x:v>4</x:v>
      </x:c>
      <x:c r="H5" s="10" t="str">
        <x:f>IF('Form Responses'!M5="","",'Form Responses'!M5)</x:f>
        <x:v>Yes</x:v>
      </x:c>
      <x:c r="I5" s="11" t="str">
        <x:f>IF('Form Responses'!N5="","",'Form Responses'!N5)</x:f>
        <x:v>No</x:v>
      </x:c>
      <x:c r="J5" s="11" t="str">
        <x:f>IF('Form Responses'!O5="","",'Form Responses'!O5)</x:f>
        <x:v>Pending</x:v>
      </x:c>
      <x:c r="K5" s="11" t="inlineStr">
        <x:is>
          <x:t xml:space="preserve"/>
        </x:is>
      </x:c>
      <x:c r="L5" s="10" t="str">
        <x:f>IF(B5="","","MS-"&amp;TEXT(ROW()-3,"000"))</x:f>
        <x:v>MS-002</x:v>
      </x:c>
      <x:c r="M5" s="10" t="str">
        <x:f>IF('Form Responses'!L5="","",'Form Responses'!L5)</x:f>
        <x:v>West of Mahé</x:v>
      </x:c>
      <x:c r="N5" s="11" t="inlineStr">
        <x:is>
          <x:t xml:space="preserve"/>
        </x:is>
      </x:c>
    </x:row>
    <x:row r="6" ht="22" customHeight="1">
      <x:c r="A6" s="10" t="str">
        <x:f>IF('Form Responses'!A6="","",'Form Responses'!A6)</x:f>
        <x:v>2026-04-18 09:42</x:v>
      </x:c>
      <x:c r="B6" s="10" t="str">
        <x:f>IF('Form Responses'!B6="","",'Form Responses'!B6)</x:f>
        <x:v>Ocean Fire</x:v>
      </x:c>
      <x:c r="C6" s="10" t="str">
        <x:f>IF('Form Responses'!C6="","",'Form Responses'!C6)</x:f>
        <x:v>Marlin One</x:v>
      </x:c>
      <x:c r="D6" s="10" t="str">
        <x:f>IF('Form Responses'!E6="","",'Form Responses'!E6)</x:f>
        <x:v>Grant Samson</x:v>
      </x:c>
      <x:c r="E6" s="10" t="str">
        <x:f>IF('Form Responses'!G6="","",'Form Responses'!G6)</x:f>
        <x:v>+248 261 4832</x:v>
      </x:c>
      <x:c r="F6" s="10" t="str">
        <x:f>IF('Form Responses'!H6="","",'Form Responses'!H6)</x:f>
        <x:v>ocean.fire@example.com</x:v>
      </x:c>
      <x:c r="G6" s="10" t="str">
        <x:f>IF('Form Responses'!J6="","",'Form Responses'!J6)</x:f>
        <x:v>6</x:v>
      </x:c>
      <x:c r="H6" s="10" t="str">
        <x:f>IF('Form Responses'!M6="","",'Form Responses'!M6)</x:f>
        <x:v>Yes</x:v>
      </x:c>
      <x:c r="I6" s="11" t="str">
        <x:f>IF('Form Responses'!N6="","",'Form Responses'!N6)</x:f>
        <x:v>Yes</x:v>
      </x:c>
      <x:c r="J6" s="11" t="str">
        <x:f>IF('Form Responses'!O6="","",'Form Responses'!O6)</x:f>
        <x:v>Pending</x:v>
      </x:c>
      <x:c r="K6" s="11" t="inlineStr">
        <x:is>
          <x:t xml:space="preserve"/>
        </x:is>
      </x:c>
      <x:c r="L6" s="10" t="str">
        <x:f>IF(B6="","","MS-"&amp;TEXT(ROW()-3,"000"))</x:f>
        <x:v>MS-003</x:v>
      </x:c>
      <x:c r="M6" s="10" t="str">
        <x:f>IF('Form Responses'!L6="","",'Form Responses'!L6)</x:f>
        <x:v>South-east grid edge</x:v>
      </x:c>
      <x:c r="N6" s="11" t="inlineStr">
        <x:is>
          <x:t xml:space="preserve"/>
        </x:is>
      </x:c>
    </x:row>
    <x:row r="7" ht="22" customHeight="1">
      <x:c r="A7" s="10">
        <x:f>IF('Form Responses'!A7="","",'Form Responses'!A7)</x:f>
      </x:c>
      <x:c r="B7" s="10">
        <x:f>IF('Form Responses'!B7="","",'Form Responses'!B7)</x:f>
      </x:c>
      <x:c r="C7" s="10">
        <x:f>IF('Form Responses'!C7="","",'Form Responses'!C7)</x:f>
      </x:c>
      <x:c r="D7" s="10">
        <x:f>IF('Form Responses'!E7="","",'Form Responses'!E7)</x:f>
      </x:c>
      <x:c r="E7" s="10">
        <x:f>IF('Form Responses'!G7="","",'Form Responses'!G7)</x:f>
      </x:c>
      <x:c r="F7" s="10">
        <x:f>IF('Form Responses'!H7="","",'Form Responses'!H7)</x:f>
      </x:c>
      <x:c r="G7" s="10">
        <x:f>IF('Form Responses'!J7="","",'Form Responses'!J7)</x:f>
      </x:c>
      <x:c r="H7" s="10">
        <x:f>IF('Form Responses'!M7="","",'Form Responses'!M7)</x:f>
      </x:c>
      <x:c r="I7" s="11">
        <x:f>IF('Form Responses'!N7="","",'Form Responses'!N7)</x:f>
      </x:c>
      <x:c r="J7" s="11">
        <x:f>IF('Form Responses'!O7="","",'Form Responses'!O7)</x:f>
      </x:c>
      <x:c r="K7" s="11" t="inlineStr">
        <x:is>
          <x:t xml:space="preserve"/>
        </x:is>
      </x:c>
      <x:c r="L7" s="10">
        <x:f>IF(B7="","","MS-"&amp;TEXT(ROW()-3,"000"))</x:f>
      </x:c>
      <x:c r="M7" s="10">
        <x:f>IF('Form Responses'!L7="","",'Form Responses'!L7)</x:f>
      </x:c>
      <x:c r="N7" s="11" t="inlineStr">
        <x:is>
          <x:t xml:space="preserve"/>
        </x:is>
      </x:c>
    </x:row>
    <x:row r="8" ht="22" customHeight="1">
      <x:c r="A8" s="10">
        <x:f>IF('Form Responses'!A8="","",'Form Responses'!A8)</x:f>
      </x:c>
      <x:c r="B8" s="10">
        <x:f>IF('Form Responses'!B8="","",'Form Responses'!B8)</x:f>
      </x:c>
      <x:c r="C8" s="10">
        <x:f>IF('Form Responses'!C8="","",'Form Responses'!C8)</x:f>
      </x:c>
      <x:c r="D8" s="10">
        <x:f>IF('Form Responses'!E8="","",'Form Responses'!E8)</x:f>
      </x:c>
      <x:c r="E8" s="10">
        <x:f>IF('Form Responses'!G8="","",'Form Responses'!G8)</x:f>
      </x:c>
      <x:c r="F8" s="10">
        <x:f>IF('Form Responses'!H8="","",'Form Responses'!H8)</x:f>
      </x:c>
      <x:c r="G8" s="10">
        <x:f>IF('Form Responses'!J8="","",'Form Responses'!J8)</x:f>
      </x:c>
      <x:c r="H8" s="10">
        <x:f>IF('Form Responses'!M8="","",'Form Responses'!M8)</x:f>
      </x:c>
      <x:c r="I8" s="11">
        <x:f>IF('Form Responses'!N8="","",'Form Responses'!N8)</x:f>
      </x:c>
      <x:c r="J8" s="11">
        <x:f>IF('Form Responses'!O8="","",'Form Responses'!O8)</x:f>
      </x:c>
      <x:c r="K8" s="11" t="inlineStr">
        <x:is>
          <x:t xml:space="preserve"/>
        </x:is>
      </x:c>
      <x:c r="L8" s="10">
        <x:f>IF(B8="","","MS-"&amp;TEXT(ROW()-3,"000"))</x:f>
      </x:c>
      <x:c r="M8" s="10">
        <x:f>IF('Form Responses'!L8="","",'Form Responses'!L8)</x:f>
      </x:c>
      <x:c r="N8" s="11" t="inlineStr">
        <x:is>
          <x:t xml:space="preserve"/>
        </x:is>
      </x:c>
    </x:row>
    <x:row r="9" ht="22" customHeight="1">
      <x:c r="A9" s="10">
        <x:f>IF('Form Responses'!A9="","",'Form Responses'!A9)</x:f>
      </x:c>
      <x:c r="B9" s="10">
        <x:f>IF('Form Responses'!B9="","",'Form Responses'!B9)</x:f>
      </x:c>
      <x:c r="C9" s="10">
        <x:f>IF('Form Responses'!C9="","",'Form Responses'!C9)</x:f>
      </x:c>
      <x:c r="D9" s="10">
        <x:f>IF('Form Responses'!E9="","",'Form Responses'!E9)</x:f>
      </x:c>
      <x:c r="E9" s="10">
        <x:f>IF('Form Responses'!G9="","",'Form Responses'!G9)</x:f>
      </x:c>
      <x:c r="F9" s="10">
        <x:f>IF('Form Responses'!H9="","",'Form Responses'!H9)</x:f>
      </x:c>
      <x:c r="G9" s="10">
        <x:f>IF('Form Responses'!J9="","",'Form Responses'!J9)</x:f>
      </x:c>
      <x:c r="H9" s="10">
        <x:f>IF('Form Responses'!M9="","",'Form Responses'!M9)</x:f>
      </x:c>
      <x:c r="I9" s="11">
        <x:f>IF('Form Responses'!N9="","",'Form Responses'!N9)</x:f>
      </x:c>
      <x:c r="J9" s="11">
        <x:f>IF('Form Responses'!O9="","",'Form Responses'!O9)</x:f>
      </x:c>
      <x:c r="K9" s="11" t="inlineStr">
        <x:is>
          <x:t xml:space="preserve"/>
        </x:is>
      </x:c>
      <x:c r="L9" s="10">
        <x:f>IF(B9="","","MS-"&amp;TEXT(ROW()-3,"000"))</x:f>
      </x:c>
      <x:c r="M9" s="10">
        <x:f>IF('Form Responses'!L9="","",'Form Responses'!L9)</x:f>
      </x:c>
      <x:c r="N9" s="11" t="inlineStr">
        <x:is>
          <x:t xml:space="preserve"/>
        </x:is>
      </x:c>
    </x:row>
    <x:row r="10" ht="22" customHeight="1">
      <x:c r="A10" s="10">
        <x:f>IF('Form Responses'!A10="","",'Form Responses'!A10)</x:f>
      </x:c>
      <x:c r="B10" s="10">
        <x:f>IF('Form Responses'!B10="","",'Form Responses'!B10)</x:f>
      </x:c>
      <x:c r="C10" s="10">
        <x:f>IF('Form Responses'!C10="","",'Form Responses'!C10)</x:f>
      </x:c>
      <x:c r="D10" s="10">
        <x:f>IF('Form Responses'!E10="","",'Form Responses'!E10)</x:f>
      </x:c>
      <x:c r="E10" s="10">
        <x:f>IF('Form Responses'!G10="","",'Form Responses'!G10)</x:f>
      </x:c>
      <x:c r="F10" s="10">
        <x:f>IF('Form Responses'!H10="","",'Form Responses'!H10)</x:f>
      </x:c>
      <x:c r="G10" s="10">
        <x:f>IF('Form Responses'!J10="","",'Form Responses'!J10)</x:f>
      </x:c>
      <x:c r="H10" s="10">
        <x:f>IF('Form Responses'!M10="","",'Form Responses'!M10)</x:f>
      </x:c>
      <x:c r="I10" s="11">
        <x:f>IF('Form Responses'!N10="","",'Form Responses'!N10)</x:f>
      </x:c>
      <x:c r="J10" s="11">
        <x:f>IF('Form Responses'!O10="","",'Form Responses'!O10)</x:f>
      </x:c>
      <x:c r="K10" s="11" t="inlineStr">
        <x:is>
          <x:t xml:space="preserve"/>
        </x:is>
      </x:c>
      <x:c r="L10" s="10">
        <x:f>IF(B10="","","MS-"&amp;TEXT(ROW()-3,"000"))</x:f>
      </x:c>
      <x:c r="M10" s="10">
        <x:f>IF('Form Responses'!L10="","",'Form Responses'!L10)</x:f>
      </x:c>
      <x:c r="N10" s="11" t="inlineStr">
        <x:is>
          <x:t xml:space="preserve"/>
        </x:is>
      </x:c>
    </x:row>
    <x:row r="11" ht="22" customHeight="1">
      <x:c r="A11" s="10">
        <x:f>IF('Form Responses'!A11="","",'Form Responses'!A11)</x:f>
      </x:c>
      <x:c r="B11" s="10">
        <x:f>IF('Form Responses'!B11="","",'Form Responses'!B11)</x:f>
      </x:c>
      <x:c r="C11" s="10">
        <x:f>IF('Form Responses'!C11="","",'Form Responses'!C11)</x:f>
      </x:c>
      <x:c r="D11" s="10">
        <x:f>IF('Form Responses'!E11="","",'Form Responses'!E11)</x:f>
      </x:c>
      <x:c r="E11" s="10">
        <x:f>IF('Form Responses'!G11="","",'Form Responses'!G11)</x:f>
      </x:c>
      <x:c r="F11" s="10">
        <x:f>IF('Form Responses'!H11="","",'Form Responses'!H11)</x:f>
      </x:c>
      <x:c r="G11" s="10">
        <x:f>IF('Form Responses'!J11="","",'Form Responses'!J11)</x:f>
      </x:c>
      <x:c r="H11" s="10">
        <x:f>IF('Form Responses'!M11="","",'Form Responses'!M11)</x:f>
      </x:c>
      <x:c r="I11" s="11">
        <x:f>IF('Form Responses'!N11="","",'Form Responses'!N11)</x:f>
      </x:c>
      <x:c r="J11" s="11">
        <x:f>IF('Form Responses'!O11="","",'Form Responses'!O11)</x:f>
      </x:c>
      <x:c r="K11" s="11" t="inlineStr">
        <x:is>
          <x:t xml:space="preserve"/>
        </x:is>
      </x:c>
      <x:c r="L11" s="10">
        <x:f>IF(B11="","","MS-"&amp;TEXT(ROW()-3,"000"))</x:f>
      </x:c>
      <x:c r="M11" s="10">
        <x:f>IF('Form Responses'!L11="","",'Form Responses'!L11)</x:f>
      </x:c>
      <x:c r="N11" s="11" t="inlineStr">
        <x:is>
          <x:t xml:space="preserve"/>
        </x:is>
      </x:c>
    </x:row>
    <x:row r="12" ht="22" customHeight="1">
      <x:c r="A12" s="10">
        <x:f>IF('Form Responses'!A12="","",'Form Responses'!A12)</x:f>
      </x:c>
      <x:c r="B12" s="10">
        <x:f>IF('Form Responses'!B12="","",'Form Responses'!B12)</x:f>
      </x:c>
      <x:c r="C12" s="10">
        <x:f>IF('Form Responses'!C12="","",'Form Responses'!C12)</x:f>
      </x:c>
      <x:c r="D12" s="10">
        <x:f>IF('Form Responses'!E12="","",'Form Responses'!E12)</x:f>
      </x:c>
      <x:c r="E12" s="10">
        <x:f>IF('Form Responses'!G12="","",'Form Responses'!G12)</x:f>
      </x:c>
      <x:c r="F12" s="10">
        <x:f>IF('Form Responses'!H12="","",'Form Responses'!H12)</x:f>
      </x:c>
      <x:c r="G12" s="10">
        <x:f>IF('Form Responses'!J12="","",'Form Responses'!J12)</x:f>
      </x:c>
      <x:c r="H12" s="10">
        <x:f>IF('Form Responses'!M12="","",'Form Responses'!M12)</x:f>
      </x:c>
      <x:c r="I12" s="11">
        <x:f>IF('Form Responses'!N12="","",'Form Responses'!N12)</x:f>
      </x:c>
      <x:c r="J12" s="11">
        <x:f>IF('Form Responses'!O12="","",'Form Responses'!O12)</x:f>
      </x:c>
      <x:c r="K12" s="11" t="inlineStr">
        <x:is>
          <x:t xml:space="preserve"/>
        </x:is>
      </x:c>
      <x:c r="L12" s="10">
        <x:f>IF(B12="","","MS-"&amp;TEXT(ROW()-3,"000"))</x:f>
      </x:c>
      <x:c r="M12" s="10">
        <x:f>IF('Form Responses'!L12="","",'Form Responses'!L12)</x:f>
      </x:c>
      <x:c r="N12" s="11" t="inlineStr">
        <x:is>
          <x:t xml:space="preserve"/>
        </x:is>
      </x:c>
    </x:row>
    <x:row r="13" ht="22" customHeight="1">
      <x:c r="A13" s="10">
        <x:f>IF('Form Responses'!A13="","",'Form Responses'!A13)</x:f>
      </x:c>
      <x:c r="B13" s="10">
        <x:f>IF('Form Responses'!B13="","",'Form Responses'!B13)</x:f>
      </x:c>
      <x:c r="C13" s="10">
        <x:f>IF('Form Responses'!C13="","",'Form Responses'!C13)</x:f>
      </x:c>
      <x:c r="D13" s="10">
        <x:f>IF('Form Responses'!E13="","",'Form Responses'!E13)</x:f>
      </x:c>
      <x:c r="E13" s="10">
        <x:f>IF('Form Responses'!G13="","",'Form Responses'!G13)</x:f>
      </x:c>
      <x:c r="F13" s="10">
        <x:f>IF('Form Responses'!H13="","",'Form Responses'!H13)</x:f>
      </x:c>
      <x:c r="G13" s="10">
        <x:f>IF('Form Responses'!J13="","",'Form Responses'!J13)</x:f>
      </x:c>
      <x:c r="H13" s="10">
        <x:f>IF('Form Responses'!M13="","",'Form Responses'!M13)</x:f>
      </x:c>
      <x:c r="I13" s="11">
        <x:f>IF('Form Responses'!N13="","",'Form Responses'!N13)</x:f>
      </x:c>
      <x:c r="J13" s="11">
        <x:f>IF('Form Responses'!O13="","",'Form Responses'!O13)</x:f>
      </x:c>
      <x:c r="K13" s="11" t="inlineStr">
        <x:is>
          <x:t xml:space="preserve"/>
        </x:is>
      </x:c>
      <x:c r="L13" s="10">
        <x:f>IF(B13="","","MS-"&amp;TEXT(ROW()-3,"000"))</x:f>
      </x:c>
      <x:c r="M13" s="10">
        <x:f>IF('Form Responses'!L13="","",'Form Responses'!L13)</x:f>
      </x:c>
      <x:c r="N13" s="11" t="inlineStr">
        <x:is>
          <x:t xml:space="preserve"/>
        </x:is>
      </x:c>
    </x:row>
    <x:row r="14" ht="22" customHeight="1">
      <x:c r="A14" s="10">
        <x:f>IF('Form Responses'!A14="","",'Form Responses'!A14)</x:f>
      </x:c>
      <x:c r="B14" s="10">
        <x:f>IF('Form Responses'!B14="","",'Form Responses'!B14)</x:f>
      </x:c>
      <x:c r="C14" s="10">
        <x:f>IF('Form Responses'!C14="","",'Form Responses'!C14)</x:f>
      </x:c>
      <x:c r="D14" s="10">
        <x:f>IF('Form Responses'!E14="","",'Form Responses'!E14)</x:f>
      </x:c>
      <x:c r="E14" s="10">
        <x:f>IF('Form Responses'!G14="","",'Form Responses'!G14)</x:f>
      </x:c>
      <x:c r="F14" s="10">
        <x:f>IF('Form Responses'!H14="","",'Form Responses'!H14)</x:f>
      </x:c>
      <x:c r="G14" s="10">
        <x:f>IF('Form Responses'!J14="","",'Form Responses'!J14)</x:f>
      </x:c>
      <x:c r="H14" s="10">
        <x:f>IF('Form Responses'!M14="","",'Form Responses'!M14)</x:f>
      </x:c>
      <x:c r="I14" s="11">
        <x:f>IF('Form Responses'!N14="","",'Form Responses'!N14)</x:f>
      </x:c>
      <x:c r="J14" s="11">
        <x:f>IF('Form Responses'!O14="","",'Form Responses'!O14)</x:f>
      </x:c>
      <x:c r="K14" s="11" t="inlineStr">
        <x:is>
          <x:t xml:space="preserve"/>
        </x:is>
      </x:c>
      <x:c r="L14" s="10">
        <x:f>IF(B14="","","MS-"&amp;TEXT(ROW()-3,"000"))</x:f>
      </x:c>
      <x:c r="M14" s="10">
        <x:f>IF('Form Responses'!L14="","",'Form Responses'!L14)</x:f>
      </x:c>
      <x:c r="N14" s="11" t="inlineStr">
        <x:is>
          <x:t xml:space="preserve"/>
        </x:is>
      </x:c>
    </x:row>
    <x:row r="15" ht="22" customHeight="1">
      <x:c r="A15" s="10">
        <x:f>IF('Form Responses'!A15="","",'Form Responses'!A15)</x:f>
      </x:c>
      <x:c r="B15" s="10">
        <x:f>IF('Form Responses'!B15="","",'Form Responses'!B15)</x:f>
      </x:c>
      <x:c r="C15" s="10">
        <x:f>IF('Form Responses'!C15="","",'Form Responses'!C15)</x:f>
      </x:c>
      <x:c r="D15" s="10">
        <x:f>IF('Form Responses'!E15="","",'Form Responses'!E15)</x:f>
      </x:c>
      <x:c r="E15" s="10">
        <x:f>IF('Form Responses'!G15="","",'Form Responses'!G15)</x:f>
      </x:c>
      <x:c r="F15" s="10">
        <x:f>IF('Form Responses'!H15="","",'Form Responses'!H15)</x:f>
      </x:c>
      <x:c r="G15" s="10">
        <x:f>IF('Form Responses'!J15="","",'Form Responses'!J15)</x:f>
      </x:c>
      <x:c r="H15" s="10">
        <x:f>IF('Form Responses'!M15="","",'Form Responses'!M15)</x:f>
      </x:c>
      <x:c r="I15" s="11">
        <x:f>IF('Form Responses'!N15="","",'Form Responses'!N15)</x:f>
      </x:c>
      <x:c r="J15" s="11">
        <x:f>IF('Form Responses'!O15="","",'Form Responses'!O15)</x:f>
      </x:c>
      <x:c r="K15" s="11" t="inlineStr">
        <x:is>
          <x:t xml:space="preserve"/>
        </x:is>
      </x:c>
      <x:c r="L15" s="10">
        <x:f>IF(B15="","","MS-"&amp;TEXT(ROW()-3,"000"))</x:f>
      </x:c>
      <x:c r="M15" s="10">
        <x:f>IF('Form Responses'!L15="","",'Form Responses'!L15)</x:f>
      </x:c>
      <x:c r="N15" s="11" t="inlineStr">
        <x:is>
          <x:t xml:space="preserve"/>
        </x:is>
      </x:c>
    </x:row>
    <x:row r="16" ht="22" customHeight="1">
      <x:c r="A16" s="10">
        <x:f>IF('Form Responses'!A16="","",'Form Responses'!A16)</x:f>
      </x:c>
      <x:c r="B16" s="10">
        <x:f>IF('Form Responses'!B16="","",'Form Responses'!B16)</x:f>
      </x:c>
      <x:c r="C16" s="10">
        <x:f>IF('Form Responses'!C16="","",'Form Responses'!C16)</x:f>
      </x:c>
      <x:c r="D16" s="10">
        <x:f>IF('Form Responses'!E16="","",'Form Responses'!E16)</x:f>
      </x:c>
      <x:c r="E16" s="10">
        <x:f>IF('Form Responses'!G16="","",'Form Responses'!G16)</x:f>
      </x:c>
      <x:c r="F16" s="10">
        <x:f>IF('Form Responses'!H16="","",'Form Responses'!H16)</x:f>
      </x:c>
      <x:c r="G16" s="10">
        <x:f>IF('Form Responses'!J16="","",'Form Responses'!J16)</x:f>
      </x:c>
      <x:c r="H16" s="10">
        <x:f>IF('Form Responses'!M16="","",'Form Responses'!M16)</x:f>
      </x:c>
      <x:c r="I16" s="11">
        <x:f>IF('Form Responses'!N16="","",'Form Responses'!N16)</x:f>
      </x:c>
      <x:c r="J16" s="11">
        <x:f>IF('Form Responses'!O16="","",'Form Responses'!O16)</x:f>
      </x:c>
      <x:c r="K16" s="11" t="inlineStr">
        <x:is>
          <x:t xml:space="preserve"/>
        </x:is>
      </x:c>
      <x:c r="L16" s="10">
        <x:f>IF(B16="","","MS-"&amp;TEXT(ROW()-3,"000"))</x:f>
      </x:c>
      <x:c r="M16" s="10">
        <x:f>IF('Form Responses'!L16="","",'Form Responses'!L16)</x:f>
      </x:c>
      <x:c r="N16" s="11" t="inlineStr">
        <x:is>
          <x:t xml:space="preserve"/>
        </x:is>
      </x:c>
    </x:row>
    <x:row r="17" ht="22" customHeight="1">
      <x:c r="A17" s="10">
        <x:f>IF('Form Responses'!A17="","",'Form Responses'!A17)</x:f>
      </x:c>
      <x:c r="B17" s="10">
        <x:f>IF('Form Responses'!B17="","",'Form Responses'!B17)</x:f>
      </x:c>
      <x:c r="C17" s="10">
        <x:f>IF('Form Responses'!C17="","",'Form Responses'!C17)</x:f>
      </x:c>
      <x:c r="D17" s="10">
        <x:f>IF('Form Responses'!E17="","",'Form Responses'!E17)</x:f>
      </x:c>
      <x:c r="E17" s="10">
        <x:f>IF('Form Responses'!G17="","",'Form Responses'!G17)</x:f>
      </x:c>
      <x:c r="F17" s="10">
        <x:f>IF('Form Responses'!H17="","",'Form Responses'!H17)</x:f>
      </x:c>
      <x:c r="G17" s="10">
        <x:f>IF('Form Responses'!J17="","",'Form Responses'!J17)</x:f>
      </x:c>
      <x:c r="H17" s="10">
        <x:f>IF('Form Responses'!M17="","",'Form Responses'!M17)</x:f>
      </x:c>
      <x:c r="I17" s="11">
        <x:f>IF('Form Responses'!N17="","",'Form Responses'!N17)</x:f>
      </x:c>
      <x:c r="J17" s="11">
        <x:f>IF('Form Responses'!O17="","",'Form Responses'!O17)</x:f>
      </x:c>
      <x:c r="K17" s="11" t="inlineStr">
        <x:is>
          <x:t xml:space="preserve"/>
        </x:is>
      </x:c>
      <x:c r="L17" s="10">
        <x:f>IF(B17="","","MS-"&amp;TEXT(ROW()-3,"000"))</x:f>
      </x:c>
      <x:c r="M17" s="10">
        <x:f>IF('Form Responses'!L17="","",'Form Responses'!L17)</x:f>
      </x:c>
      <x:c r="N17" s="11" t="inlineStr">
        <x:is>
          <x:t xml:space="preserve"/>
        </x:is>
      </x:c>
    </x:row>
    <x:row r="18" ht="22" customHeight="1">
      <x:c r="A18" s="10">
        <x:f>IF('Form Responses'!A18="","",'Form Responses'!A18)</x:f>
      </x:c>
      <x:c r="B18" s="10">
        <x:f>IF('Form Responses'!B18="","",'Form Responses'!B18)</x:f>
      </x:c>
      <x:c r="C18" s="10">
        <x:f>IF('Form Responses'!C18="","",'Form Responses'!C18)</x:f>
      </x:c>
      <x:c r="D18" s="10">
        <x:f>IF('Form Responses'!E18="","",'Form Responses'!E18)</x:f>
      </x:c>
      <x:c r="E18" s="10">
        <x:f>IF('Form Responses'!G18="","",'Form Responses'!G18)</x:f>
      </x:c>
      <x:c r="F18" s="10">
        <x:f>IF('Form Responses'!H18="","",'Form Responses'!H18)</x:f>
      </x:c>
      <x:c r="G18" s="10">
        <x:f>IF('Form Responses'!J18="","",'Form Responses'!J18)</x:f>
      </x:c>
      <x:c r="H18" s="10">
        <x:f>IF('Form Responses'!M18="","",'Form Responses'!M18)</x:f>
      </x:c>
      <x:c r="I18" s="11">
        <x:f>IF('Form Responses'!N18="","",'Form Responses'!N18)</x:f>
      </x:c>
      <x:c r="J18" s="11">
        <x:f>IF('Form Responses'!O18="","",'Form Responses'!O18)</x:f>
      </x:c>
      <x:c r="K18" s="11" t="inlineStr">
        <x:is>
          <x:t xml:space="preserve"/>
        </x:is>
      </x:c>
      <x:c r="L18" s="10">
        <x:f>IF(B18="","","MS-"&amp;TEXT(ROW()-3,"000"))</x:f>
      </x:c>
      <x:c r="M18" s="10">
        <x:f>IF('Form Responses'!L18="","",'Form Responses'!L18)</x:f>
      </x:c>
      <x:c r="N18" s="11" t="inlineStr">
        <x:is>
          <x:t xml:space="preserve"/>
        </x:is>
      </x:c>
    </x:row>
    <x:row r="19" ht="22" customHeight="1">
      <x:c r="A19" s="10">
        <x:f>IF('Form Responses'!A19="","",'Form Responses'!A19)</x:f>
      </x:c>
      <x:c r="B19" s="10">
        <x:f>IF('Form Responses'!B19="","",'Form Responses'!B19)</x:f>
      </x:c>
      <x:c r="C19" s="10">
        <x:f>IF('Form Responses'!C19="","",'Form Responses'!C19)</x:f>
      </x:c>
      <x:c r="D19" s="10">
        <x:f>IF('Form Responses'!E19="","",'Form Responses'!E19)</x:f>
      </x:c>
      <x:c r="E19" s="10">
        <x:f>IF('Form Responses'!G19="","",'Form Responses'!G19)</x:f>
      </x:c>
      <x:c r="F19" s="10">
        <x:f>IF('Form Responses'!H19="","",'Form Responses'!H19)</x:f>
      </x:c>
      <x:c r="G19" s="10">
        <x:f>IF('Form Responses'!J19="","",'Form Responses'!J19)</x:f>
      </x:c>
      <x:c r="H19" s="10">
        <x:f>IF('Form Responses'!M19="","",'Form Responses'!M19)</x:f>
      </x:c>
      <x:c r="I19" s="11">
        <x:f>IF('Form Responses'!N19="","",'Form Responses'!N19)</x:f>
      </x:c>
      <x:c r="J19" s="11">
        <x:f>IF('Form Responses'!O19="","",'Form Responses'!O19)</x:f>
      </x:c>
      <x:c r="K19" s="11" t="inlineStr">
        <x:is>
          <x:t xml:space="preserve"/>
        </x:is>
      </x:c>
      <x:c r="L19" s="10">
        <x:f>IF(B19="","","MS-"&amp;TEXT(ROW()-3,"000"))</x:f>
      </x:c>
      <x:c r="M19" s="10">
        <x:f>IF('Form Responses'!L19="","",'Form Responses'!L19)</x:f>
      </x:c>
      <x:c r="N19" s="11" t="inlineStr">
        <x:is>
          <x:t xml:space="preserve"/>
        </x:is>
      </x:c>
    </x:row>
    <x:row r="20" ht="22" customHeight="1">
      <x:c r="A20" s="10">
        <x:f>IF('Form Responses'!A20="","",'Form Responses'!A20)</x:f>
      </x:c>
      <x:c r="B20" s="10">
        <x:f>IF('Form Responses'!B20="","",'Form Responses'!B20)</x:f>
      </x:c>
      <x:c r="C20" s="10">
        <x:f>IF('Form Responses'!C20="","",'Form Responses'!C20)</x:f>
      </x:c>
      <x:c r="D20" s="10">
        <x:f>IF('Form Responses'!E20="","",'Form Responses'!E20)</x:f>
      </x:c>
      <x:c r="E20" s="10">
        <x:f>IF('Form Responses'!G20="","",'Form Responses'!G20)</x:f>
      </x:c>
      <x:c r="F20" s="10">
        <x:f>IF('Form Responses'!H20="","",'Form Responses'!H20)</x:f>
      </x:c>
      <x:c r="G20" s="10">
        <x:f>IF('Form Responses'!J20="","",'Form Responses'!J20)</x:f>
      </x:c>
      <x:c r="H20" s="10">
        <x:f>IF('Form Responses'!M20="","",'Form Responses'!M20)</x:f>
      </x:c>
      <x:c r="I20" s="11">
        <x:f>IF('Form Responses'!N20="","",'Form Responses'!N20)</x:f>
      </x:c>
      <x:c r="J20" s="11">
        <x:f>IF('Form Responses'!O20="","",'Form Responses'!O20)</x:f>
      </x:c>
      <x:c r="K20" s="11" t="inlineStr">
        <x:is>
          <x:t xml:space="preserve"/>
        </x:is>
      </x:c>
      <x:c r="L20" s="10">
        <x:f>IF(B20="","","MS-"&amp;TEXT(ROW()-3,"000"))</x:f>
      </x:c>
      <x:c r="M20" s="10">
        <x:f>IF('Form Responses'!L20="","",'Form Responses'!L20)</x:f>
      </x:c>
      <x:c r="N20" s="11" t="inlineStr">
        <x:is>
          <x:t xml:space="preserve"/>
        </x:is>
      </x:c>
    </x:row>
    <x:row r="21" ht="22" customHeight="1">
      <x:c r="A21" s="10">
        <x:f>IF('Form Responses'!A21="","",'Form Responses'!A21)</x:f>
      </x:c>
      <x:c r="B21" s="10">
        <x:f>IF('Form Responses'!B21="","",'Form Responses'!B21)</x:f>
      </x:c>
      <x:c r="C21" s="10">
        <x:f>IF('Form Responses'!C21="","",'Form Responses'!C21)</x:f>
      </x:c>
      <x:c r="D21" s="10">
        <x:f>IF('Form Responses'!E21="","",'Form Responses'!E21)</x:f>
      </x:c>
      <x:c r="E21" s="10">
        <x:f>IF('Form Responses'!G21="","",'Form Responses'!G21)</x:f>
      </x:c>
      <x:c r="F21" s="10">
        <x:f>IF('Form Responses'!H21="","",'Form Responses'!H21)</x:f>
      </x:c>
      <x:c r="G21" s="10">
        <x:f>IF('Form Responses'!J21="","",'Form Responses'!J21)</x:f>
      </x:c>
      <x:c r="H21" s="10">
        <x:f>IF('Form Responses'!M21="","",'Form Responses'!M21)</x:f>
      </x:c>
      <x:c r="I21" s="11">
        <x:f>IF('Form Responses'!N21="","",'Form Responses'!N21)</x:f>
      </x:c>
      <x:c r="J21" s="11">
        <x:f>IF('Form Responses'!O21="","",'Form Responses'!O21)</x:f>
      </x:c>
      <x:c r="K21" s="11" t="inlineStr">
        <x:is>
          <x:t xml:space="preserve"/>
        </x:is>
      </x:c>
      <x:c r="L21" s="10">
        <x:f>IF(B21="","","MS-"&amp;TEXT(ROW()-3,"000"))</x:f>
      </x:c>
      <x:c r="M21" s="10">
        <x:f>IF('Form Responses'!L21="","",'Form Responses'!L21)</x:f>
      </x:c>
      <x:c r="N21" s="11" t="inlineStr">
        <x:is>
          <x:t xml:space="preserve"/>
        </x:is>
      </x:c>
    </x:row>
    <x:row r="22" ht="22" customHeight="1">
      <x:c r="A22" s="10">
        <x:f>IF('Form Responses'!A22="","",'Form Responses'!A22)</x:f>
      </x:c>
      <x:c r="B22" s="10">
        <x:f>IF('Form Responses'!B22="","",'Form Responses'!B22)</x:f>
      </x:c>
      <x:c r="C22" s="10">
        <x:f>IF('Form Responses'!C22="","",'Form Responses'!C22)</x:f>
      </x:c>
      <x:c r="D22" s="10">
        <x:f>IF('Form Responses'!E22="","",'Form Responses'!E22)</x:f>
      </x:c>
      <x:c r="E22" s="10">
        <x:f>IF('Form Responses'!G22="","",'Form Responses'!G22)</x:f>
      </x:c>
      <x:c r="F22" s="10">
        <x:f>IF('Form Responses'!H22="","",'Form Responses'!H22)</x:f>
      </x:c>
      <x:c r="G22" s="10">
        <x:f>IF('Form Responses'!J22="","",'Form Responses'!J22)</x:f>
      </x:c>
      <x:c r="H22" s="10">
        <x:f>IF('Form Responses'!M22="","",'Form Responses'!M22)</x:f>
      </x:c>
      <x:c r="I22" s="11">
        <x:f>IF('Form Responses'!N22="","",'Form Responses'!N22)</x:f>
      </x:c>
      <x:c r="J22" s="11">
        <x:f>IF('Form Responses'!O22="","",'Form Responses'!O22)</x:f>
      </x:c>
      <x:c r="K22" s="11" t="inlineStr">
        <x:is>
          <x:t xml:space="preserve"/>
        </x:is>
      </x:c>
      <x:c r="L22" s="10">
        <x:f>IF(B22="","","MS-"&amp;TEXT(ROW()-3,"000"))</x:f>
      </x:c>
      <x:c r="M22" s="10">
        <x:f>IF('Form Responses'!L22="","",'Form Responses'!L22)</x:f>
      </x:c>
      <x:c r="N22" s="11" t="inlineStr">
        <x:is>
          <x:t xml:space="preserve"/>
        </x:is>
      </x:c>
    </x:row>
    <x:row r="23" ht="22" customHeight="1">
      <x:c r="A23" s="10">
        <x:f>IF('Form Responses'!A23="","",'Form Responses'!A23)</x:f>
      </x:c>
      <x:c r="B23" s="10">
        <x:f>IF('Form Responses'!B23="","",'Form Responses'!B23)</x:f>
      </x:c>
      <x:c r="C23" s="10">
        <x:f>IF('Form Responses'!C23="","",'Form Responses'!C23)</x:f>
      </x:c>
      <x:c r="D23" s="10">
        <x:f>IF('Form Responses'!E23="","",'Form Responses'!E23)</x:f>
      </x:c>
      <x:c r="E23" s="10">
        <x:f>IF('Form Responses'!G23="","",'Form Responses'!G23)</x:f>
      </x:c>
      <x:c r="F23" s="10">
        <x:f>IF('Form Responses'!H23="","",'Form Responses'!H23)</x:f>
      </x:c>
      <x:c r="G23" s="10">
        <x:f>IF('Form Responses'!J23="","",'Form Responses'!J23)</x:f>
      </x:c>
      <x:c r="H23" s="10">
        <x:f>IF('Form Responses'!M23="","",'Form Responses'!M23)</x:f>
      </x:c>
      <x:c r="I23" s="11">
        <x:f>IF('Form Responses'!N23="","",'Form Responses'!N23)</x:f>
      </x:c>
      <x:c r="J23" s="11">
        <x:f>IF('Form Responses'!O23="","",'Form Responses'!O23)</x:f>
      </x:c>
      <x:c r="K23" s="11" t="inlineStr">
        <x:is>
          <x:t xml:space="preserve"/>
        </x:is>
      </x:c>
      <x:c r="L23" s="10">
        <x:f>IF(B23="","","MS-"&amp;TEXT(ROW()-3,"000"))</x:f>
      </x:c>
      <x:c r="M23" s="10">
        <x:f>IF('Form Responses'!L23="","",'Form Responses'!L23)</x:f>
      </x:c>
      <x:c r="N23" s="11" t="inlineStr">
        <x:is>
          <x:t xml:space="preserve"/>
        </x:is>
      </x:c>
    </x:row>
    <x:row r="24" ht="22" customHeight="1">
      <x:c r="A24" s="10">
        <x:f>IF('Form Responses'!A24="","",'Form Responses'!A24)</x:f>
      </x:c>
      <x:c r="B24" s="10">
        <x:f>IF('Form Responses'!B24="","",'Form Responses'!B24)</x:f>
      </x:c>
      <x:c r="C24" s="10">
        <x:f>IF('Form Responses'!C24="","",'Form Responses'!C24)</x:f>
      </x:c>
      <x:c r="D24" s="10">
        <x:f>IF('Form Responses'!E24="","",'Form Responses'!E24)</x:f>
      </x:c>
      <x:c r="E24" s="10">
        <x:f>IF('Form Responses'!G24="","",'Form Responses'!G24)</x:f>
      </x:c>
      <x:c r="F24" s="10">
        <x:f>IF('Form Responses'!H24="","",'Form Responses'!H24)</x:f>
      </x:c>
      <x:c r="G24" s="10">
        <x:f>IF('Form Responses'!J24="","",'Form Responses'!J24)</x:f>
      </x:c>
      <x:c r="H24" s="10">
        <x:f>IF('Form Responses'!M24="","",'Form Responses'!M24)</x:f>
      </x:c>
      <x:c r="I24" s="11">
        <x:f>IF('Form Responses'!N24="","",'Form Responses'!N24)</x:f>
      </x:c>
      <x:c r="J24" s="11">
        <x:f>IF('Form Responses'!O24="","",'Form Responses'!O24)</x:f>
      </x:c>
      <x:c r="K24" s="11" t="inlineStr">
        <x:is>
          <x:t xml:space="preserve"/>
        </x:is>
      </x:c>
      <x:c r="L24" s="10">
        <x:f>IF(B24="","","MS-"&amp;TEXT(ROW()-3,"000"))</x:f>
      </x:c>
      <x:c r="M24" s="10">
        <x:f>IF('Form Responses'!L24="","",'Form Responses'!L24)</x:f>
      </x:c>
      <x:c r="N24" s="11" t="inlineStr">
        <x:is>
          <x:t xml:space="preserve"/>
        </x:is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111e02773fcb4343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0" customWidth="1"/>
    <x:col min="3" max="3" width="18" customWidth="1"/>
    <x:col min="4" max="4" width="14" customWidth="1"/>
    <x:col min="5" max="5" width="10" customWidth="1"/>
    <x:col min="6" max="6" width="18" customWidth="1"/>
    <x:col min="7" max="7" width="18" customWidth="1"/>
    <x:col min="8" max="8" width="10" customWidth="1"/>
    <x:col min="12" max="12" width="2" customWidth="1"/>
  </x:cols>
  <x:sheetData>
    <x:row r="1">
      <x:c r="A1" s="1" t="inlineStr">
        <x:is>
          <x:t xml:space="preserve">Live Dashboard ("hot chart" option)</x:t>
        </x:is>
      </x:c>
    </x:row>
    <x:row r="3" ht="22" customHeight="1">
      <x:c r="A3" s="12" t="inlineStr">
        <x:is>
          <x:t xml:space="preserve">Total Registrations</x:t>
        </x:is>
      </x:c>
      <x:c r="C3" s="12" t="inlineStr">
        <x:is>
          <x:t xml:space="preserve">Paid Teams</x:t>
        </x:is>
      </x:c>
      <x:c r="E3" s="12" t="inlineStr">
        <x:is>
          <x:t xml:space="preserve">Unpaid Teams</x:t>
        </x:is>
      </x:c>
      <x:c r="G3" s="12" t="inlineStr">
        <x:is>
          <x:t xml:space="preserve">Approved Teams</x:t>
        </x:is>
      </x:c>
    </x:row>
    <x:row r="4" ht="22" customHeight="1">
      <x:c r="A4" s="13">
        <x:f>B8+B9</x:f>
        <x:v>3</x:v>
      </x:c>
      <x:c r="C4" s="13">
        <x:f>COUNTIF(Tracking!I4:I24,"Yes")</x:f>
        <x:v>2</x:v>
      </x:c>
      <x:c r="E4" s="13">
        <x:f>COUNTIF(Tracking!I4:I24,"No")</x:f>
        <x:v>1</x:v>
      </x:c>
      <x:c r="G4" s="13">
        <x:f>COUNTIF(Tracking!J4:J24,"Approved")</x:f>
        <x:v>1</x:v>
      </x:c>
    </x:row>
    <x:row r="5" ht="22" customHeight="1"/>
    <x:row r="6" ht="22" customHeight="1"/>
    <x:row r="7" ht="22" customHeight="1">
      <x:c r="A7" s="6" t="inlineStr">
        <x:is>
          <x:t xml:space="preserve">Status</x:t>
        </x:is>
      </x:c>
      <x:c r="B7" s="6" t="inlineStr">
        <x:is>
          <x:t xml:space="preserve">Count</x:t>
        </x:is>
      </x:c>
      <x:c r="C7" s="6" t="n"/>
      <x:c r="D7" s="6" t="inlineStr">
        <x:is>
          <x:t xml:space="preserve">Review</x:t>
        </x:is>
      </x:c>
      <x:c r="E7" s="6" t="inlineStr">
        <x:is>
          <x:t xml:space="preserve">Count</x:t>
        </x:is>
      </x:c>
      <x:c r="F7" s="6" t="n"/>
      <x:c r="G7" s="6" t="n"/>
      <x:c r="H7" s="6" t="n"/>
    </x:row>
    <x:row r="8" ht="22" customHeight="1">
      <x:c r="A8" t="inlineStr">
        <x:is>
          <x:t xml:space="preserve">Paid</x:t>
        </x:is>
      </x:c>
      <x:c r="B8">
        <x:f>COUNTIF(Tracking!I4:I24,"Yes")</x:f>
        <x:v>2</x:v>
      </x:c>
      <x:c r="D8" t="inlineStr">
        <x:is>
          <x:t xml:space="preserve">Approved</x:t>
        </x:is>
      </x:c>
      <x:c r="E8">
        <x:f>COUNTIF(Tracking!J4:J24,"Approved")</x:f>
        <x:v>1</x:v>
      </x:c>
    </x:row>
    <x:row r="9" ht="22" customHeight="1">
      <x:c r="A9" t="inlineStr">
        <x:is>
          <x:t xml:space="preserve">Unpaid</x:t>
        </x:is>
      </x:c>
      <x:c r="B9">
        <x:f>COUNTIF(Tracking!I4:I24,"No")</x:f>
        <x:v>1</x:v>
      </x:c>
      <x:c r="D9" t="inlineStr">
        <x:is>
          <x:t xml:space="preserve">Pending</x:t>
        </x:is>
      </x:c>
      <x:c r="E9">
        <x:f>COUNTIF(Tracking!J4:J24,"Pending")</x:f>
        <x:v>2</x:v>
      </x:c>
    </x:row>
    <x:row r="10" ht="22" customHeight="1">
      <x:c r="D10" t="inlineStr">
        <x:is>
          <x:t xml:space="preserve">Other</x:t>
        </x:is>
      </x:c>
      <x:c r="E10">
        <x:f>MAX(0,COUNTIF(Tracking!J4:J24,"?*")-COUNTIF(Tracking!J4:J24,"Approved")-COUNTIF(Tracking!J4:J24,"Pending"))</x:f>
        <x:v>0</x:v>
      </x:c>
    </x:row>
    <x:row r="11" ht="22" customHeight="1"/>
    <x:row r="12" ht="22" customHeight="1">
      <x:c r="A12" s="6" t="inlineStr">
        <x:is>
          <x:t xml:space="preserve">Fishing Area</x:t>
        </x:is>
      </x:c>
      <x:c r="B12" s="6" t="inlineStr">
        <x:is>
          <x:t xml:space="preserve">Count</x:t>
        </x:is>
      </x:c>
      <x:c r="C12" s="6" t="n"/>
      <x:c r="D12" s="6" t="n"/>
      <x:c r="E12" s="6" t="n"/>
      <x:c r="F12" s="6" t="n"/>
      <x:c r="G12" s="6" t="n"/>
      <x:c r="H12" s="6" t="n"/>
    </x:row>
    <x:row r="13" ht="22" customHeight="1">
      <x:c r="A13" t="inlineStr">
        <x:is>
          <x:t xml:space="preserve">North drop-off</x:t>
        </x:is>
      </x:c>
      <x:c r="B13">
        <x:f>COUNTIF(Tracking!M4:M24,A13)</x:f>
        <x:v>1</x:v>
      </x:c>
    </x:row>
    <x:row r="14" ht="22" customHeight="1">
      <x:c r="A14" t="inlineStr">
        <x:is>
          <x:t xml:space="preserve">West of Mahé</x:t>
        </x:is>
      </x:c>
      <x:c r="B14">
        <x:f>COUNTIF(Tracking!M4:M24,A14)</x:f>
        <x:v>1</x:v>
      </x:c>
    </x:row>
    <x:row r="15" ht="22" customHeight="1">
      <x:c r="A15" t="inlineStr">
        <x:is>
          <x:t xml:space="preserve">South-east grid edge</x:t>
        </x:is>
      </x:c>
      <x:c r="B15">
        <x:f>COUNTIF(Tracking!M4:M24,A15)</x:f>
        <x:v>1</x:v>
      </x:c>
    </x:row>
    <x:row r="18">
      <x:c r="A18" s="14" t="inlineStr">
        <x:is>
          <x:t xml:space="preserve">Recommended live view for the executive committee:</x:t>
        </x:is>
      </x:c>
    </x:row>
    <x:row r="19">
      <x:c r="A19" s="14" t="inlineStr">
        <x:is>
          <x:t xml:space="preserve">• Green pie chart = paid vs unpaid</x:t>
        </x:is>
      </x:c>
    </x:row>
    <x:row r="20">
      <x:c r="A20" s="14" t="inlineStr">
        <x:is>
          <x:t xml:space="preserve">• Bar chart = where teams plan to fish</x:t>
        </x:is>
      </x:c>
    </x:row>
    <x:row r="21">
      <x:c r="A21" s="14" t="inlineStr">
        <x:is>
          <x:t xml:space="preserve">• KPI tiles update as new form submissions arrive</x:t>
        </x:is>
      </x:c>
    </x:row>
  </x:sheetData>
  <x:mergeCells>
    <x:mergeCell ref="C4:D5"/>
    <x:mergeCell ref="A4:B5"/>
    <x:mergeCell ref="G4:H5"/>
    <x:mergeCell ref="E4:F5"/>
    <x:mergeCell ref="A1:H1"/>
    <x:mergeCell ref="C3:D3"/>
    <x:mergeCell ref="A3:B3"/>
    <x:mergeCell ref="G3:H3"/>
    <x:mergeCell ref="E3:F3"/>
  </x:mergeCells>
  <x:pageMargins left="0.7" right="0.7" top="0.75" bottom="0.75" header="0.3" footer="0.3"/>
  <x:drawing xmlns:r="http://schemas.openxmlformats.org/officeDocument/2006/relationships" r:id="R7fae459fbf5a429f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8" customWidth="1"/>
    <x:col min="3" max="3" width="35" customWidth="1"/>
    <x:col min="4" max="4" width="24" customWidth="1"/>
    <x:col min="5" max="5" width="32" customWidth="1"/>
    <x:col min="6" max="6" width="14" customWidth="1"/>
  </x:cols>
  <x:sheetData>
    <x:row r="1">
      <x:c r="A1" s="1" t="inlineStr">
        <x:is>
          <x:t xml:space="preserve">Committee Comparison – Google Form/Sheet vs Website</x:t>
        </x:is>
      </x:c>
    </x:row>
    <x:row r="3">
      <x:c r="A3" s="6" t="inlineStr">
        <x:is>
          <x:t xml:space="preserve">Option</x:t>
        </x:is>
      </x:c>
      <x:c r="B3" s="6" t="inlineStr">
        <x:is>
          <x:t xml:space="preserve">Best Use</x:t>
        </x:is>
      </x:c>
      <x:c r="C3" s="6" t="inlineStr">
        <x:is>
          <x:t xml:space="preserve">Pros</x:t>
        </x:is>
      </x:c>
      <x:c r="D3" s="6" t="inlineStr">
        <x:is>
          <x:t xml:space="preserve">Cons</x:t>
        </x:is>
      </x:c>
      <x:c r="E3" s="6" t="inlineStr">
        <x:is>
          <x:t xml:space="preserve">Recommendation</x:t>
        </x:is>
      </x:c>
      <x:c r="F3" s="6" t="inlineStr">
        <x:is>
          <x:t xml:space="preserve">Decision</x:t>
        </x:is>
      </x:c>
    </x:row>
    <x:row r="4">
      <x:c r="A4" t="inlineStr">
        <x:is>
          <x:t xml:space="preserve">Google Form + Sheet + Dashboard</x:t>
        </x:is>
      </x:c>
      <x:c r="B4" t="inlineStr">
        <x:is>
          <x:t xml:space="preserve">Launch this week</x:t>
        </x:is>
      </x:c>
      <x:c r="C4" t="inlineStr">
        <x:is>
          <x:t xml:space="preserve">Fast, easy to share, no developer needed, live dashboard</x:t>
        </x:is>
      </x:c>
      <x:c r="D4" t="inlineStr">
        <x:is>
          <x:t xml:space="preserve">Less branded than a full site</x:t>
        </x:is>
      </x:c>
      <x:c r="E4" t="inlineStr">
        <x:is>
          <x:t xml:space="preserve">Best first launch</x:t>
        </x:is>
      </x:c>
      <x:c r="F4" t="inlineStr">
        <x:is>
          <x:t xml:space="preserve">Recommended</x:t>
        </x:is>
      </x:c>
    </x:row>
    <x:row r="5">
      <x:c r="A5" t="inlineStr">
        <x:is>
          <x:t xml:space="preserve">Branded Website Demo</x:t>
        </x:is>
      </x:c>
      <x:c r="B5" t="inlineStr">
        <x:is>
          <x:t xml:space="preserve">Committee preview / public-facing look</x:t>
        </x:is>
      </x:c>
      <x:c r="C5" t="inlineStr">
        <x:is>
          <x:t xml:space="preserve">Looks polished, can match sponsor branding, good for promotion</x:t>
        </x:is>
      </x:c>
      <x:c r="D5" t="inlineStr">
        <x:is>
          <x:t xml:space="preserve">Needs a backend or embed for real submissions</x:t>
        </x:is>
      </x:c>
      <x:c r="E5" t="inlineStr">
        <x:is>
          <x:t xml:space="preserve">Use as front-end later or embed Google Form</x:t>
        </x:is>
      </x:c>
      <x:c r="F5" t="inlineStr">
        <x:is>
          <x:t xml:space="preserve">Phase 2</x:t>
        </x:is>
      </x:c>
    </x:row>
    <x:row r="8">
      <x:c r="A8" s="3" t="inlineStr">
        <x:is>
          <x:t xml:space="preserve">Decision note:</x:t>
        </x:is>
      </x:c>
      <x:c r="B8" s="4" t="inlineStr">
        <x:is>
          <x:t xml:space="preserve">Launch the Google Form/Sheet dashboard immediately; keep the website as the branded public page or embed.</x:t>
        </x:is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7f3c0bdb52c041ad"/>
  <x:tableParts count="1">
    <x:tablePart xmlns:r="http://schemas.openxmlformats.org/officeDocument/2006/relationships" r:id="R2c540bf528904e62"/>
  </x:tableParts>
</x:worksheet>
</file>